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Default Extension="emf" ContentType="image/x-emf"/>
  <Default Extension="wmf" ContentType="image/x-wmf"/>
  <Override PartName="/xl/drawings/drawing4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/>
  </bookViews>
  <sheets>
    <sheet name="Cálculo de s²" sheetId="1" r:id="rId1"/>
    <sheet name="Cálculo de g" sheetId="2" r:id="rId2"/>
    <sheet name="IC Media 1" sheetId="3" r:id="rId3"/>
    <sheet name="IC Media 2" sheetId="4" r:id="rId4"/>
    <sheet name="IC Proporción" sheetId="5" r:id="rId5"/>
    <sheet name="Datos pareados" sheetId="6" r:id="rId6"/>
  </sheets>
  <definedNames>
    <definedName name="Antes">'Datos pareados'!$A$2:$A$51</definedName>
    <definedName name="Despues">'Datos pareados'!$B$2:$B$51</definedName>
    <definedName name="Difer">'Datos pareados'!$D$2:$D$51</definedName>
    <definedName name="GLib">'Cálculo de g'!$D$8</definedName>
    <definedName name="GLib2">'IC Media 2'!$L$13</definedName>
  </definedNames>
  <calcPr calcId="124519"/>
</workbook>
</file>

<file path=xl/calcChain.xml><?xml version="1.0" encoding="utf-8"?>
<calcChain xmlns="http://schemas.openxmlformats.org/spreadsheetml/2006/main">
  <c r="D2" i="6"/>
  <c r="D3"/>
  <c r="D4"/>
  <c r="H18"/>
  <c r="G19" s="1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H10" s="1"/>
  <c r="H12" s="1"/>
  <c r="M10" i="4"/>
  <c r="L10"/>
  <c r="Q8"/>
  <c r="Q7"/>
  <c r="E6" i="5"/>
  <c r="D6"/>
  <c r="D13" s="1"/>
  <c r="I13"/>
  <c r="D8"/>
  <c r="I14"/>
  <c r="D9"/>
  <c r="C14"/>
  <c r="L16" i="3"/>
  <c r="P12" i="4"/>
  <c r="R12"/>
  <c r="Q13" s="1"/>
  <c r="L13"/>
  <c r="C14"/>
  <c r="C15"/>
  <c r="C16" i="3"/>
  <c r="C14"/>
  <c r="L14"/>
  <c r="B20"/>
  <c r="D20"/>
  <c r="C17" i="4"/>
  <c r="D17" s="1"/>
  <c r="E17" s="1"/>
  <c r="B18" s="1"/>
  <c r="L17"/>
  <c r="M17" s="1"/>
  <c r="N17" s="1"/>
  <c r="O10" s="1"/>
  <c r="L17" i="3"/>
  <c r="M17" s="1"/>
  <c r="N17" s="1"/>
  <c r="K18" s="1"/>
  <c r="C17"/>
  <c r="D17" s="1"/>
  <c r="E17" s="1"/>
  <c r="B18" s="1"/>
  <c r="D8" i="2"/>
  <c r="G20" i="1"/>
  <c r="G17"/>
  <c r="I20"/>
  <c r="I17"/>
  <c r="G9"/>
  <c r="I9" s="1"/>
  <c r="H8" i="6" l="1"/>
  <c r="G4"/>
  <c r="H14"/>
  <c r="H16" s="1"/>
  <c r="D20" i="4"/>
  <c r="B20"/>
  <c r="G16" i="5"/>
  <c r="J19"/>
  <c r="H19"/>
  <c r="L15" i="4"/>
  <c r="M20" i="3"/>
  <c r="K18" i="4"/>
  <c r="L14"/>
  <c r="K20" i="3"/>
  <c r="I21" i="6" l="1"/>
  <c r="G21"/>
  <c r="M20" i="4"/>
  <c r="K20"/>
</calcChain>
</file>

<file path=xl/sharedStrings.xml><?xml version="1.0" encoding="utf-8"?>
<sst xmlns="http://schemas.openxmlformats.org/spreadsheetml/2006/main" count="80" uniqueCount="45">
  <si>
    <t>Población 1</t>
  </si>
  <si>
    <t>Población 2</t>
  </si>
  <si>
    <t xml:space="preserve">n = </t>
  </si>
  <si>
    <t xml:space="preserve">Varianza = </t>
  </si>
  <si>
    <t xml:space="preserve">Desv estandar = </t>
  </si>
  <si>
    <r>
      <t xml:space="preserve">A) Cuando las varianzas poblacionales </t>
    </r>
    <r>
      <rPr>
        <b/>
        <u/>
        <sz val="11"/>
        <color rgb="FFFF0000"/>
        <rFont val="Calibri"/>
        <family val="2"/>
        <scheme val="minor"/>
      </rPr>
      <t>SON CONOCIDAS</t>
    </r>
    <r>
      <rPr>
        <b/>
        <sz val="11"/>
        <color rgb="FFFF0000"/>
        <rFont val="Calibri"/>
        <family val="2"/>
        <scheme val="minor"/>
      </rPr>
      <t>:</t>
    </r>
  </si>
  <si>
    <r>
      <t xml:space="preserve">B) Cuando las varianzas poblacionales </t>
    </r>
    <r>
      <rPr>
        <b/>
        <u/>
        <sz val="11"/>
        <color rgb="FFFF0000"/>
        <rFont val="Calibri"/>
        <family val="2"/>
        <scheme val="minor"/>
      </rPr>
      <t>SON DESCONOCIDAS</t>
    </r>
    <r>
      <rPr>
        <b/>
        <sz val="11"/>
        <color rgb="FFFF0000"/>
        <rFont val="Calibri"/>
        <family val="2"/>
        <scheme val="minor"/>
      </rPr>
      <t>:</t>
    </r>
  </si>
  <si>
    <t>Muestra 1</t>
  </si>
  <si>
    <t>Muestra 2</t>
  </si>
  <si>
    <t>Suponiendo que son diferentes:</t>
  </si>
  <si>
    <t xml:space="preserve">g = </t>
  </si>
  <si>
    <t>Por el Teorema del Límite Central, usarmos la distribución Normal</t>
  </si>
  <si>
    <t xml:space="preserve">Media = </t>
  </si>
  <si>
    <t xml:space="preserve">Nivel de confianza = </t>
  </si>
  <si>
    <t>(en porcentaje)</t>
  </si>
  <si>
    <t xml:space="preserve">El intervalo de confianza del </t>
  </si>
  <si>
    <t>Usaremos la distribución t de Student, suponiendo población normal</t>
  </si>
  <si>
    <t>Muestra</t>
  </si>
  <si>
    <t xml:space="preserve">n  = </t>
  </si>
  <si>
    <t xml:space="preserve">O desv. Estándar = </t>
  </si>
  <si>
    <t>Población</t>
  </si>
  <si>
    <t xml:space="preserve">      ≤  μ  ≤      </t>
  </si>
  <si>
    <t xml:space="preserve">O la desv. Estándar = </t>
  </si>
  <si>
    <t xml:space="preserve">Desv. Est. = </t>
  </si>
  <si>
    <t xml:space="preserve">Varianzas, s² = </t>
  </si>
  <si>
    <t xml:space="preserve">Medias = </t>
  </si>
  <si>
    <t xml:space="preserve">Varianzas = </t>
  </si>
  <si>
    <t xml:space="preserve"> ≤  μ1 – μ2  ≤  </t>
  </si>
  <si>
    <t xml:space="preserve">≤  σ²1 / σ²2  ≤ </t>
  </si>
  <si>
    <t>Intervalo de confianza para el cociente de varianzas</t>
  </si>
  <si>
    <t xml:space="preserve">  </t>
  </si>
  <si>
    <t>Datos de la muestra:</t>
  </si>
  <si>
    <t xml:space="preserve">Tamaño = </t>
  </si>
  <si>
    <t xml:space="preserve">Nro. casos o eventos = </t>
  </si>
  <si>
    <t xml:space="preserve">Proporción muestral = </t>
  </si>
  <si>
    <t xml:space="preserve">Nivel de confianza(en %) = </t>
  </si>
  <si>
    <t>Lím. Superior</t>
  </si>
  <si>
    <t>Lím. Inferior</t>
  </si>
  <si>
    <t xml:space="preserve">El Intervalo de confianza del </t>
  </si>
  <si>
    <t>Antes (X)</t>
  </si>
  <si>
    <t>Depués (Y)</t>
  </si>
  <si>
    <t>D</t>
  </si>
  <si>
    <t>Estadísticas muestrales de D:</t>
  </si>
  <si>
    <t xml:space="preserve">Nivel de confianza: </t>
  </si>
  <si>
    <t>% para la media es:</t>
  </si>
</sst>
</file>

<file path=xl/styles.xml><?xml version="1.0" encoding="utf-8"?>
<styleSheet xmlns="http://schemas.openxmlformats.org/spreadsheetml/2006/main">
  <numFmts count="1">
    <numFmt numFmtId="164" formatCode="&quot; = &quot;\ General"/>
  </numFmts>
  <fonts count="19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Tahoma"/>
      <family val="2"/>
    </font>
    <font>
      <b/>
      <sz val="14"/>
      <color theme="1"/>
      <name val="Arial"/>
      <family val="2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106">
    <xf numFmtId="0" fontId="0" fillId="0" borderId="0" xfId="0"/>
    <xf numFmtId="0" fontId="0" fillId="0" borderId="0" xfId="0" applyAlignment="1">
      <alignment horizontal="right"/>
    </xf>
    <xf numFmtId="0" fontId="1" fillId="2" borderId="1" xfId="0" applyFont="1" applyFill="1" applyBorder="1"/>
    <xf numFmtId="0" fontId="1" fillId="5" borderId="1" xfId="0" applyFont="1" applyFill="1" applyBorder="1"/>
    <xf numFmtId="0" fontId="3" fillId="0" borderId="0" xfId="0" applyFont="1"/>
    <xf numFmtId="164" fontId="0" fillId="0" borderId="0" xfId="0" applyNumberFormat="1"/>
    <xf numFmtId="0" fontId="4" fillId="0" borderId="0" xfId="0" applyFont="1"/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5" fillId="0" borderId="0" xfId="0" applyFont="1" applyProtection="1">
      <protection locked="0"/>
    </xf>
    <xf numFmtId="0" fontId="8" fillId="0" borderId="0" xfId="0" applyFont="1" applyFill="1" applyBorder="1" applyAlignment="1">
      <alignment horizontal="right"/>
    </xf>
    <xf numFmtId="0" fontId="7" fillId="6" borderId="2" xfId="0" applyFont="1" applyFill="1" applyBorder="1" applyProtection="1">
      <protection locked="0"/>
    </xf>
    <xf numFmtId="0" fontId="0" fillId="0" borderId="0" xfId="0" applyAlignment="1"/>
    <xf numFmtId="0" fontId="5" fillId="0" borderId="0" xfId="0" applyFont="1" applyAlignment="1">
      <alignment horizontal="right"/>
    </xf>
    <xf numFmtId="10" fontId="5" fillId="0" borderId="0" xfId="1" applyNumberFormat="1" applyFont="1"/>
    <xf numFmtId="0" fontId="0" fillId="0" borderId="0" xfId="0" applyNumberFormat="1"/>
    <xf numFmtId="0" fontId="0" fillId="7" borderId="0" xfId="0" applyFill="1"/>
    <xf numFmtId="0" fontId="0" fillId="0" borderId="5" xfId="0" applyBorder="1"/>
    <xf numFmtId="0" fontId="0" fillId="0" borderId="3" xfId="0" applyBorder="1" applyAlignment="1"/>
    <xf numFmtId="0" fontId="0" fillId="0" borderId="4" xfId="0" applyBorder="1" applyAlignment="1"/>
    <xf numFmtId="0" fontId="0" fillId="0" borderId="0" xfId="0" applyBorder="1"/>
    <xf numFmtId="0" fontId="5" fillId="0" borderId="0" xfId="0" applyFont="1"/>
    <xf numFmtId="0" fontId="0" fillId="0" borderId="1" xfId="0" applyBorder="1"/>
    <xf numFmtId="0" fontId="0" fillId="0" borderId="0" xfId="0" applyBorder="1" applyAlignment="1">
      <alignment horizontal="right"/>
    </xf>
    <xf numFmtId="0" fontId="0" fillId="0" borderId="6" xfId="0" applyBorder="1"/>
    <xf numFmtId="0" fontId="0" fillId="0" borderId="9" xfId="0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10" xfId="0" applyBorder="1" applyAlignment="1">
      <alignment horizontal="right"/>
    </xf>
    <xf numFmtId="0" fontId="0" fillId="0" borderId="1" xfId="0" applyBorder="1" applyProtection="1">
      <protection locked="0"/>
    </xf>
    <xf numFmtId="0" fontId="0" fillId="0" borderId="0" xfId="0" applyFill="1" applyBorder="1" applyAlignment="1">
      <alignment horizontal="right"/>
    </xf>
    <xf numFmtId="0" fontId="0" fillId="0" borderId="11" xfId="0" applyBorder="1"/>
    <xf numFmtId="0" fontId="0" fillId="0" borderId="1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14" xfId="0" applyBorder="1"/>
    <xf numFmtId="0" fontId="0" fillId="0" borderId="15" xfId="0" applyBorder="1"/>
    <xf numFmtId="0" fontId="0" fillId="0" borderId="20" xfId="0" applyBorder="1" applyAlignment="1">
      <alignment horizontal="right"/>
    </xf>
    <xf numFmtId="0" fontId="0" fillId="0" borderId="21" xfId="0" applyBorder="1" applyAlignment="1">
      <alignment horizontal="right"/>
    </xf>
    <xf numFmtId="0" fontId="0" fillId="3" borderId="7" xfId="0" applyFill="1" applyBorder="1"/>
    <xf numFmtId="0" fontId="0" fillId="3" borderId="0" xfId="0" applyFill="1" applyBorder="1"/>
    <xf numFmtId="0" fontId="0" fillId="3" borderId="12" xfId="0" applyFill="1" applyBorder="1"/>
    <xf numFmtId="0" fontId="0" fillId="3" borderId="7" xfId="0" applyNumberFormat="1" applyFill="1" applyBorder="1"/>
    <xf numFmtId="0" fontId="0" fillId="3" borderId="8" xfId="0" applyFill="1" applyBorder="1"/>
    <xf numFmtId="0" fontId="0" fillId="3" borderId="10" xfId="0" applyFill="1" applyBorder="1"/>
    <xf numFmtId="0" fontId="0" fillId="3" borderId="13" xfId="0" applyFill="1" applyBorder="1"/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22" xfId="0" applyBorder="1" applyProtection="1">
      <protection locked="0"/>
    </xf>
    <xf numFmtId="0" fontId="0" fillId="0" borderId="24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21" xfId="0" applyBorder="1" applyProtection="1">
      <protection locked="0"/>
    </xf>
    <xf numFmtId="0" fontId="0" fillId="0" borderId="0" xfId="0" applyProtection="1">
      <protection locked="0"/>
    </xf>
    <xf numFmtId="0" fontId="10" fillId="3" borderId="10" xfId="0" applyFont="1" applyFill="1" applyBorder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2" xfId="0" applyBorder="1"/>
    <xf numFmtId="0" fontId="0" fillId="8" borderId="26" xfId="0" applyFill="1" applyBorder="1"/>
    <xf numFmtId="0" fontId="0" fillId="8" borderId="27" xfId="0" applyFill="1" applyBorder="1"/>
    <xf numFmtId="0" fontId="0" fillId="10" borderId="13" xfId="0" applyFill="1" applyBorder="1"/>
    <xf numFmtId="0" fontId="11" fillId="9" borderId="26" xfId="0" applyFont="1" applyFill="1" applyBorder="1"/>
    <xf numFmtId="0" fontId="11" fillId="9" borderId="12" xfId="0" applyFont="1" applyFill="1" applyBorder="1"/>
    <xf numFmtId="0" fontId="0" fillId="0" borderId="0" xfId="0" applyFill="1" applyBorder="1"/>
    <xf numFmtId="0" fontId="5" fillId="0" borderId="0" xfId="0" applyFont="1" applyFill="1" applyBorder="1"/>
    <xf numFmtId="0" fontId="5" fillId="0" borderId="0" xfId="1" applyNumberFormat="1" applyFont="1" applyFill="1" applyBorder="1"/>
    <xf numFmtId="0" fontId="13" fillId="0" borderId="3" xfId="0" applyFont="1" applyBorder="1"/>
    <xf numFmtId="0" fontId="8" fillId="0" borderId="5" xfId="0" applyFont="1" applyBorder="1" applyAlignment="1">
      <alignment horizontal="right"/>
    </xf>
    <xf numFmtId="0" fontId="0" fillId="8" borderId="2" xfId="0" applyFill="1" applyBorder="1"/>
    <xf numFmtId="0" fontId="0" fillId="10" borderId="2" xfId="0" applyFill="1" applyBorder="1"/>
    <xf numFmtId="0" fontId="0" fillId="0" borderId="4" xfId="0" applyBorder="1"/>
    <xf numFmtId="0" fontId="1" fillId="0" borderId="0" xfId="0" applyFont="1" applyAlignment="1"/>
    <xf numFmtId="0" fontId="12" fillId="12" borderId="2" xfId="0" applyFont="1" applyFill="1" applyBorder="1"/>
    <xf numFmtId="0" fontId="12" fillId="12" borderId="27" xfId="0" applyFont="1" applyFill="1" applyBorder="1"/>
    <xf numFmtId="0" fontId="0" fillId="8" borderId="25" xfId="0" applyFill="1" applyBorder="1" applyProtection="1">
      <protection locked="0"/>
    </xf>
    <xf numFmtId="0" fontId="0" fillId="10" borderId="11" xfId="0" applyFill="1" applyBorder="1" applyProtection="1">
      <protection locked="0"/>
    </xf>
    <xf numFmtId="0" fontId="0" fillId="8" borderId="26" xfId="0" applyFill="1" applyBorder="1" applyProtection="1">
      <protection locked="0"/>
    </xf>
    <xf numFmtId="0" fontId="0" fillId="10" borderId="12" xfId="0" applyFill="1" applyBorder="1" applyProtection="1">
      <protection locked="0"/>
    </xf>
    <xf numFmtId="0" fontId="0" fillId="3" borderId="12" xfId="0" applyFill="1" applyBorder="1" applyAlignment="1">
      <alignment horizontal="left"/>
    </xf>
    <xf numFmtId="0" fontId="0" fillId="0" borderId="3" xfId="0" applyBorder="1"/>
    <xf numFmtId="0" fontId="0" fillId="0" borderId="2" xfId="0" applyBorder="1" applyAlignment="1">
      <alignment horizontal="center"/>
    </xf>
    <xf numFmtId="0" fontId="0" fillId="2" borderId="26" xfId="0" applyFill="1" applyBorder="1"/>
    <xf numFmtId="0" fontId="0" fillId="2" borderId="27" xfId="0" applyFill="1" applyBorder="1"/>
    <xf numFmtId="0" fontId="0" fillId="10" borderId="26" xfId="0" applyFill="1" applyBorder="1"/>
    <xf numFmtId="0" fontId="0" fillId="10" borderId="27" xfId="0" applyFill="1" applyBorder="1"/>
    <xf numFmtId="0" fontId="0" fillId="13" borderId="26" xfId="0" applyFill="1" applyBorder="1"/>
    <xf numFmtId="0" fontId="0" fillId="13" borderId="27" xfId="0" applyFill="1" applyBorder="1"/>
    <xf numFmtId="0" fontId="1" fillId="14" borderId="2" xfId="0" applyFont="1" applyFill="1" applyBorder="1"/>
    <xf numFmtId="0" fontId="16" fillId="0" borderId="0" xfId="0" applyFont="1" applyAlignment="1">
      <alignment horizontal="right"/>
    </xf>
    <xf numFmtId="0" fontId="17" fillId="0" borderId="0" xfId="0" applyFont="1" applyBorder="1" applyAlignment="1">
      <alignment horizontal="center" wrapText="1"/>
    </xf>
    <xf numFmtId="0" fontId="18" fillId="0" borderId="0" xfId="0" applyFont="1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4" fillId="11" borderId="3" xfId="0" applyFont="1" applyFill="1" applyBorder="1" applyAlignment="1">
      <alignment horizontal="center"/>
    </xf>
    <xf numFmtId="0" fontId="4" fillId="11" borderId="4" xfId="0" applyFont="1" applyFill="1" applyBorder="1" applyAlignment="1">
      <alignment horizontal="center"/>
    </xf>
    <xf numFmtId="0" fontId="4" fillId="11" borderId="5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8" fillId="0" borderId="3" xfId="0" applyFont="1" applyBorder="1" applyAlignment="1">
      <alignment horizontal="right"/>
    </xf>
    <xf numFmtId="0" fontId="8" fillId="0" borderId="5" xfId="0" applyFont="1" applyBorder="1" applyAlignment="1">
      <alignment horizontal="right"/>
    </xf>
    <xf numFmtId="0" fontId="16" fillId="0" borderId="0" xfId="0" applyFont="1" applyAlignment="1">
      <alignment horizontal="center"/>
    </xf>
  </cellXfs>
  <cellStyles count="2">
    <cellStyle name="Normal" xfId="0" builtinId="0"/>
    <cellStyle name="Porcentual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w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wmf"/><Relationship Id="rId1" Type="http://schemas.openxmlformats.org/officeDocument/2006/relationships/image" Target="../media/image14.w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</xdr:colOff>
      <xdr:row>0</xdr:row>
      <xdr:rowOff>0</xdr:rowOff>
    </xdr:from>
    <xdr:ext cx="5765809" cy="264560"/>
    <xdr:sp macro="" textlink="">
      <xdr:nvSpPr>
        <xdr:cNvPr id="2" name="1 CuadroTexto"/>
        <xdr:cNvSpPr txBox="1"/>
      </xdr:nvSpPr>
      <xdr:spPr>
        <a:xfrm>
          <a:off x="771525" y="333375"/>
          <a:ext cx="5765809" cy="26456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PE" sz="1100"/>
            <a:t>Cálculo de la varianza y desviación estándar  en un problema de diferencia de medias</a:t>
          </a:r>
          <a:r>
            <a:rPr lang="es-PE" sz="1100" baseline="0"/>
            <a:t> muestrales:</a:t>
          </a:r>
          <a:endParaRPr lang="es-PE" sz="1100"/>
        </a:p>
      </xdr:txBody>
    </xdr:sp>
    <xdr:clientData/>
  </xdr:oneCellAnchor>
  <xdr:twoCellAnchor>
    <xdr:from>
      <xdr:col>5</xdr:col>
      <xdr:colOff>571500</xdr:colOff>
      <xdr:row>7</xdr:row>
      <xdr:rowOff>171450</xdr:rowOff>
    </xdr:from>
    <xdr:to>
      <xdr:col>6</xdr:col>
      <xdr:colOff>57150</xdr:colOff>
      <xdr:row>9</xdr:row>
      <xdr:rowOff>66675</xdr:rowOff>
    </xdr:to>
    <xdr:pic>
      <xdr:nvPicPr>
        <xdr:cNvPr id="1029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4381500" y="1704975"/>
          <a:ext cx="552450" cy="276225"/>
        </a:xfrm>
        <a:prstGeom prst="rect">
          <a:avLst/>
        </a:prstGeom>
        <a:noFill/>
      </xdr:spPr>
    </xdr:pic>
    <xdr:clientData/>
  </xdr:twoCellAnchor>
  <xdr:twoCellAnchor>
    <xdr:from>
      <xdr:col>9</xdr:col>
      <xdr:colOff>742949</xdr:colOff>
      <xdr:row>2</xdr:row>
      <xdr:rowOff>0</xdr:rowOff>
    </xdr:from>
    <xdr:to>
      <xdr:col>12</xdr:col>
      <xdr:colOff>733424</xdr:colOff>
      <xdr:row>4</xdr:row>
      <xdr:rowOff>114301</xdr:rowOff>
    </xdr:to>
    <xdr:sp macro="" textlink="">
      <xdr:nvSpPr>
        <xdr:cNvPr id="5" name="4 Llamada de nube"/>
        <xdr:cNvSpPr/>
      </xdr:nvSpPr>
      <xdr:spPr>
        <a:xfrm>
          <a:off x="8172449" y="409576"/>
          <a:ext cx="2276475" cy="666750"/>
        </a:xfrm>
        <a:prstGeom prst="cloudCallout">
          <a:avLst>
            <a:gd name="adj1" fmla="val -123939"/>
            <a:gd name="adj2" fmla="val 51591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Ingrese</a:t>
          </a:r>
          <a:r>
            <a:rPr lang="es-PE" sz="1100" b="1" baseline="0">
              <a:solidFill>
                <a:sysClr val="windowText" lastClr="000000"/>
              </a:solidFill>
            </a:rPr>
            <a:t>  las varianzas  o desviación estándar</a:t>
          </a:r>
          <a:endParaRPr lang="es-P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104774</xdr:colOff>
      <xdr:row>10</xdr:row>
      <xdr:rowOff>0</xdr:rowOff>
    </xdr:from>
    <xdr:to>
      <xdr:col>13</xdr:col>
      <xdr:colOff>266699</xdr:colOff>
      <xdr:row>13</xdr:row>
      <xdr:rowOff>95250</xdr:rowOff>
    </xdr:to>
    <xdr:sp macro="" textlink="">
      <xdr:nvSpPr>
        <xdr:cNvPr id="6" name="5 Llamada de nube"/>
        <xdr:cNvSpPr/>
      </xdr:nvSpPr>
      <xdr:spPr>
        <a:xfrm>
          <a:off x="8296274" y="2105025"/>
          <a:ext cx="2447925" cy="714375"/>
        </a:xfrm>
        <a:prstGeom prst="cloudCallout">
          <a:avLst>
            <a:gd name="adj1" fmla="val -123939"/>
            <a:gd name="adj2" fmla="val 51591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Ingrese</a:t>
          </a:r>
          <a:r>
            <a:rPr lang="es-PE" sz="1100" b="1" baseline="0">
              <a:solidFill>
                <a:sysClr val="windowText" lastClr="000000"/>
              </a:solidFill>
            </a:rPr>
            <a:t>  las varianzas o desviación estándar</a:t>
          </a:r>
          <a:endParaRPr lang="es-P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609600</xdr:colOff>
      <xdr:row>16</xdr:row>
      <xdr:rowOff>0</xdr:rowOff>
    </xdr:from>
    <xdr:to>
      <xdr:col>6</xdr:col>
      <xdr:colOff>95250</xdr:colOff>
      <xdr:row>17</xdr:row>
      <xdr:rowOff>76200</xdr:rowOff>
    </xdr:to>
    <xdr:pic>
      <xdr:nvPicPr>
        <xdr:cNvPr id="7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4419600" y="3438525"/>
          <a:ext cx="552450" cy="276225"/>
        </a:xfrm>
        <a:prstGeom prst="rect">
          <a:avLst/>
        </a:prstGeom>
        <a:noFill/>
      </xdr:spPr>
    </xdr:pic>
    <xdr:clientData/>
  </xdr:twoCellAnchor>
  <xdr:twoCellAnchor>
    <xdr:from>
      <xdr:col>7</xdr:col>
      <xdr:colOff>447675</xdr:colOff>
      <xdr:row>7</xdr:row>
      <xdr:rowOff>123825</xdr:rowOff>
    </xdr:from>
    <xdr:to>
      <xdr:col>8</xdr:col>
      <xdr:colOff>104775</xdr:colOff>
      <xdr:row>9</xdr:row>
      <xdr:rowOff>38100</xdr:rowOff>
    </xdr:to>
    <xdr:pic>
      <xdr:nvPicPr>
        <xdr:cNvPr id="1030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6219825" y="1657350"/>
          <a:ext cx="552450" cy="295275"/>
        </a:xfrm>
        <a:prstGeom prst="rect">
          <a:avLst/>
        </a:prstGeom>
        <a:noFill/>
      </xdr:spPr>
    </xdr:pic>
    <xdr:clientData/>
  </xdr:twoCellAnchor>
  <xdr:twoCellAnchor>
    <xdr:from>
      <xdr:col>7</xdr:col>
      <xdr:colOff>333375</xdr:colOff>
      <xdr:row>16</xdr:row>
      <xdr:rowOff>0</xdr:rowOff>
    </xdr:from>
    <xdr:to>
      <xdr:col>7</xdr:col>
      <xdr:colOff>885825</xdr:colOff>
      <xdr:row>17</xdr:row>
      <xdr:rowOff>76200</xdr:rowOff>
    </xdr:to>
    <xdr:pic>
      <xdr:nvPicPr>
        <xdr:cNvPr id="10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6105525" y="3457575"/>
          <a:ext cx="552450" cy="295275"/>
        </a:xfrm>
        <a:prstGeom prst="rect">
          <a:avLst/>
        </a:prstGeom>
        <a:noFill/>
      </xdr:spPr>
    </xdr:pic>
    <xdr:clientData/>
  </xdr:twoCellAnchor>
  <xdr:twoCellAnchor>
    <xdr:from>
      <xdr:col>5</xdr:col>
      <xdr:colOff>571500</xdr:colOff>
      <xdr:row>18</xdr:row>
      <xdr:rowOff>152400</xdr:rowOff>
    </xdr:from>
    <xdr:to>
      <xdr:col>6</xdr:col>
      <xdr:colOff>57150</xdr:colOff>
      <xdr:row>20</xdr:row>
      <xdr:rowOff>47625</xdr:rowOff>
    </xdr:to>
    <xdr:pic>
      <xdr:nvPicPr>
        <xdr:cNvPr id="1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4381500" y="4210050"/>
          <a:ext cx="552450" cy="323850"/>
        </a:xfrm>
        <a:prstGeom prst="rect">
          <a:avLst/>
        </a:prstGeom>
        <a:noFill/>
      </xdr:spPr>
    </xdr:pic>
    <xdr:clientData/>
  </xdr:twoCellAnchor>
  <xdr:twoCellAnchor>
    <xdr:from>
      <xdr:col>7</xdr:col>
      <xdr:colOff>447675</xdr:colOff>
      <xdr:row>18</xdr:row>
      <xdr:rowOff>161925</xdr:rowOff>
    </xdr:from>
    <xdr:to>
      <xdr:col>8</xdr:col>
      <xdr:colOff>104775</xdr:colOff>
      <xdr:row>20</xdr:row>
      <xdr:rowOff>76200</xdr:rowOff>
    </xdr:to>
    <xdr:pic>
      <xdr:nvPicPr>
        <xdr:cNvPr id="12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6219825" y="4219575"/>
          <a:ext cx="552450" cy="3429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0</xdr:row>
      <xdr:rowOff>47625</xdr:rowOff>
    </xdr:from>
    <xdr:to>
      <xdr:col>10</xdr:col>
      <xdr:colOff>457200</xdr:colOff>
      <xdr:row>3</xdr:row>
      <xdr:rowOff>180975</xdr:rowOff>
    </xdr:to>
    <xdr:sp macro="" textlink="">
      <xdr:nvSpPr>
        <xdr:cNvPr id="2" name="1 Llamada de nube"/>
        <xdr:cNvSpPr/>
      </xdr:nvSpPr>
      <xdr:spPr>
        <a:xfrm>
          <a:off x="5629275" y="47625"/>
          <a:ext cx="2447925" cy="714375"/>
        </a:xfrm>
        <a:prstGeom prst="cloudCallout">
          <a:avLst>
            <a:gd name="adj1" fmla="val -123939"/>
            <a:gd name="adj2" fmla="val 51591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Ingrese</a:t>
          </a:r>
          <a:r>
            <a:rPr lang="es-PE" sz="1100" b="1" baseline="0">
              <a:solidFill>
                <a:sysClr val="windowText" lastClr="000000"/>
              </a:solidFill>
            </a:rPr>
            <a:t>  las varianzas o desviación estándar</a:t>
          </a:r>
          <a:endParaRPr lang="es-PE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9525</xdr:rowOff>
    </xdr:from>
    <xdr:to>
      <xdr:col>5</xdr:col>
      <xdr:colOff>57151</xdr:colOff>
      <xdr:row>1</xdr:row>
      <xdr:rowOff>66675</xdr:rowOff>
    </xdr:to>
    <xdr:sp macro="" textlink="">
      <xdr:nvSpPr>
        <xdr:cNvPr id="3" name="2 Onda"/>
        <xdr:cNvSpPr/>
      </xdr:nvSpPr>
      <xdr:spPr>
        <a:xfrm>
          <a:off x="762001" y="9525"/>
          <a:ext cx="3105150" cy="247650"/>
        </a:xfrm>
        <a:prstGeom prst="wave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Cuando las varianzas poblacionales son conocidas</a:t>
          </a:r>
        </a:p>
      </xdr:txBody>
    </xdr:sp>
    <xdr:clientData/>
  </xdr:twoCellAnchor>
  <xdr:twoCellAnchor>
    <xdr:from>
      <xdr:col>9</xdr:col>
      <xdr:colOff>495300</xdr:colOff>
      <xdr:row>0</xdr:row>
      <xdr:rowOff>19050</xdr:rowOff>
    </xdr:from>
    <xdr:to>
      <xdr:col>13</xdr:col>
      <xdr:colOff>742950</xdr:colOff>
      <xdr:row>1</xdr:row>
      <xdr:rowOff>19050</xdr:rowOff>
    </xdr:to>
    <xdr:sp macro="" textlink="">
      <xdr:nvSpPr>
        <xdr:cNvPr id="4" name="3 Onda"/>
        <xdr:cNvSpPr/>
      </xdr:nvSpPr>
      <xdr:spPr>
        <a:xfrm>
          <a:off x="6324600" y="19050"/>
          <a:ext cx="3295650" cy="190500"/>
        </a:xfrm>
        <a:prstGeom prst="wave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PE" sz="1100" b="1"/>
            <a:t>Cuando las varianzas poblacionales son desconocidas</a:t>
          </a:r>
        </a:p>
      </xdr:txBody>
    </xdr:sp>
    <xdr:clientData/>
  </xdr:twoCellAnchor>
  <xdr:twoCellAnchor>
    <xdr:from>
      <xdr:col>0</xdr:col>
      <xdr:colOff>742950</xdr:colOff>
      <xdr:row>12</xdr:row>
      <xdr:rowOff>161925</xdr:rowOff>
    </xdr:from>
    <xdr:to>
      <xdr:col>2</xdr:col>
      <xdr:colOff>38100</xdr:colOff>
      <xdr:row>14</xdr:row>
      <xdr:rowOff>123825</xdr:rowOff>
    </xdr:to>
    <xdr:pic>
      <xdr:nvPicPr>
        <xdr:cNvPr id="205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742950" y="2466975"/>
          <a:ext cx="819150" cy="342900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142875</xdr:colOff>
      <xdr:row>15</xdr:row>
      <xdr:rowOff>0</xdr:rowOff>
    </xdr:from>
    <xdr:to>
      <xdr:col>2</xdr:col>
      <xdr:colOff>38100</xdr:colOff>
      <xdr:row>16</xdr:row>
      <xdr:rowOff>19050</xdr:rowOff>
    </xdr:to>
    <xdr:pic>
      <xdr:nvPicPr>
        <xdr:cNvPr id="2054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904875" y="2876550"/>
          <a:ext cx="657225" cy="209550"/>
        </a:xfrm>
        <a:prstGeom prst="rect">
          <a:avLst/>
        </a:prstGeom>
        <a:noFill/>
      </xdr:spPr>
    </xdr:pic>
    <xdr:clientData/>
  </xdr:twoCellAnchor>
  <xdr:twoCellAnchor>
    <xdr:from>
      <xdr:col>10</xdr:col>
      <xdr:colOff>133350</xdr:colOff>
      <xdr:row>14</xdr:row>
      <xdr:rowOff>161925</xdr:rowOff>
    </xdr:from>
    <xdr:to>
      <xdr:col>11</xdr:col>
      <xdr:colOff>9525</xdr:colOff>
      <xdr:row>15</xdr:row>
      <xdr:rowOff>180975</xdr:rowOff>
    </xdr:to>
    <xdr:pic>
      <xdr:nvPicPr>
        <xdr:cNvPr id="2062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6724650" y="2867025"/>
          <a:ext cx="638175" cy="209550"/>
        </a:xfrm>
        <a:prstGeom prst="rect">
          <a:avLst/>
        </a:prstGeom>
        <a:noFill/>
      </xdr:spPr>
    </xdr:pic>
    <xdr:clientData/>
  </xdr:twoCellAnchor>
  <xdr:twoCellAnchor>
    <xdr:from>
      <xdr:col>10</xdr:col>
      <xdr:colOff>0</xdr:colOff>
      <xdr:row>13</xdr:row>
      <xdr:rowOff>0</xdr:rowOff>
    </xdr:from>
    <xdr:to>
      <xdr:col>11</xdr:col>
      <xdr:colOff>57150</xdr:colOff>
      <xdr:row>14</xdr:row>
      <xdr:rowOff>152400</xdr:rowOff>
    </xdr:to>
    <xdr:pic>
      <xdr:nvPicPr>
        <xdr:cNvPr id="2063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6677025" y="2524125"/>
          <a:ext cx="819150" cy="342900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9525</xdr:rowOff>
    </xdr:from>
    <xdr:to>
      <xdr:col>5</xdr:col>
      <xdr:colOff>57151</xdr:colOff>
      <xdr:row>1</xdr:row>
      <xdr:rowOff>66675</xdr:rowOff>
    </xdr:to>
    <xdr:sp macro="" textlink="">
      <xdr:nvSpPr>
        <xdr:cNvPr id="2" name="1 Onda"/>
        <xdr:cNvSpPr/>
      </xdr:nvSpPr>
      <xdr:spPr>
        <a:xfrm>
          <a:off x="762001" y="9525"/>
          <a:ext cx="3105150" cy="247650"/>
        </a:xfrm>
        <a:prstGeom prst="wave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Cuando las varianzas poblacionales son conocidas</a:t>
          </a:r>
        </a:p>
      </xdr:txBody>
    </xdr:sp>
    <xdr:clientData/>
  </xdr:twoCellAnchor>
  <xdr:twoCellAnchor>
    <xdr:from>
      <xdr:col>9</xdr:col>
      <xdr:colOff>180975</xdr:colOff>
      <xdr:row>0</xdr:row>
      <xdr:rowOff>9525</xdr:rowOff>
    </xdr:from>
    <xdr:to>
      <xdr:col>15</xdr:col>
      <xdr:colOff>485775</xdr:colOff>
      <xdr:row>1</xdr:row>
      <xdr:rowOff>66675</xdr:rowOff>
    </xdr:to>
    <xdr:sp macro="" textlink="">
      <xdr:nvSpPr>
        <xdr:cNvPr id="3" name="2 Onda"/>
        <xdr:cNvSpPr/>
      </xdr:nvSpPr>
      <xdr:spPr>
        <a:xfrm>
          <a:off x="5410200" y="9525"/>
          <a:ext cx="4762500" cy="247650"/>
        </a:xfrm>
        <a:prstGeom prst="wave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PE" sz="1100" b="1"/>
            <a:t>Cuando las varianzas poblacionales son desconocidas</a:t>
          </a:r>
        </a:p>
      </xdr:txBody>
    </xdr:sp>
    <xdr:clientData/>
  </xdr:twoCellAnchor>
  <xdr:twoCellAnchor>
    <xdr:from>
      <xdr:col>1</xdr:col>
      <xdr:colOff>161925</xdr:colOff>
      <xdr:row>13</xdr:row>
      <xdr:rowOff>38100</xdr:rowOff>
    </xdr:from>
    <xdr:to>
      <xdr:col>1</xdr:col>
      <xdr:colOff>742950</xdr:colOff>
      <xdr:row>14</xdr:row>
      <xdr:rowOff>66675</xdr:rowOff>
    </xdr:to>
    <xdr:pic>
      <xdr:nvPicPr>
        <xdr:cNvPr id="3078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923925" y="2600325"/>
          <a:ext cx="581025" cy="219075"/>
        </a:xfrm>
        <a:prstGeom prst="rect">
          <a:avLst/>
        </a:prstGeom>
        <a:noFill/>
      </xdr:spPr>
    </xdr:pic>
    <xdr:clientData/>
  </xdr:twoCellAnchor>
  <xdr:twoCellAnchor>
    <xdr:from>
      <xdr:col>10</xdr:col>
      <xdr:colOff>190500</xdr:colOff>
      <xdr:row>13</xdr:row>
      <xdr:rowOff>19050</xdr:rowOff>
    </xdr:from>
    <xdr:to>
      <xdr:col>11</xdr:col>
      <xdr:colOff>9525</xdr:colOff>
      <xdr:row>14</xdr:row>
      <xdr:rowOff>47625</xdr:rowOff>
    </xdr:to>
    <xdr:pic>
      <xdr:nvPicPr>
        <xdr:cNvPr id="3079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6381750" y="2581275"/>
          <a:ext cx="752475" cy="21907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180975</xdr:colOff>
      <xdr:row>14</xdr:row>
      <xdr:rowOff>57150</xdr:rowOff>
    </xdr:from>
    <xdr:to>
      <xdr:col>1</xdr:col>
      <xdr:colOff>752475</xdr:colOff>
      <xdr:row>15</xdr:row>
      <xdr:rowOff>76200</xdr:rowOff>
    </xdr:to>
    <xdr:pic>
      <xdr:nvPicPr>
        <xdr:cNvPr id="3082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942975" y="2809875"/>
          <a:ext cx="571500" cy="209550"/>
        </a:xfrm>
        <a:prstGeom prst="rect">
          <a:avLst/>
        </a:prstGeom>
        <a:noFill/>
      </xdr:spPr>
    </xdr:pic>
    <xdr:clientData/>
  </xdr:twoCellAnchor>
  <xdr:twoCellAnchor>
    <xdr:from>
      <xdr:col>14</xdr:col>
      <xdr:colOff>257175</xdr:colOff>
      <xdr:row>6</xdr:row>
      <xdr:rowOff>38100</xdr:rowOff>
    </xdr:from>
    <xdr:to>
      <xdr:col>15</xdr:col>
      <xdr:colOff>695325</xdr:colOff>
      <xdr:row>7</xdr:row>
      <xdr:rowOff>47625</xdr:rowOff>
    </xdr:to>
    <xdr:pic>
      <xdr:nvPicPr>
        <xdr:cNvPr id="3083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9048750" y="1219200"/>
          <a:ext cx="1333500" cy="209550"/>
        </a:xfrm>
        <a:prstGeom prst="rect">
          <a:avLst/>
        </a:prstGeom>
        <a:noFill/>
      </xdr:spPr>
    </xdr:pic>
    <xdr:clientData/>
  </xdr:twoCellAnchor>
  <xdr:twoCellAnchor>
    <xdr:from>
      <xdr:col>14</xdr:col>
      <xdr:colOff>114300</xdr:colOff>
      <xdr:row>7</xdr:row>
      <xdr:rowOff>38100</xdr:rowOff>
    </xdr:from>
    <xdr:to>
      <xdr:col>15</xdr:col>
      <xdr:colOff>714375</xdr:colOff>
      <xdr:row>8</xdr:row>
      <xdr:rowOff>47625</xdr:rowOff>
    </xdr:to>
    <xdr:pic>
      <xdr:nvPicPr>
        <xdr:cNvPr id="3084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8905875" y="1419225"/>
          <a:ext cx="1495425" cy="209550"/>
        </a:xfrm>
        <a:prstGeom prst="rect">
          <a:avLst/>
        </a:prstGeom>
        <a:noFill/>
      </xdr:spPr>
    </xdr:pic>
    <xdr:clientData/>
  </xdr:twoCellAnchor>
  <xdr:twoCellAnchor>
    <xdr:from>
      <xdr:col>10</xdr:col>
      <xdr:colOff>314325</xdr:colOff>
      <xdr:row>14</xdr:row>
      <xdr:rowOff>19050</xdr:rowOff>
    </xdr:from>
    <xdr:to>
      <xdr:col>11</xdr:col>
      <xdr:colOff>9525</xdr:colOff>
      <xdr:row>15</xdr:row>
      <xdr:rowOff>95250</xdr:rowOff>
    </xdr:to>
    <xdr:pic>
      <xdr:nvPicPr>
        <xdr:cNvPr id="3085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6029325" y="2790825"/>
          <a:ext cx="628650" cy="266700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419100</xdr:colOff>
      <xdr:row>12</xdr:row>
      <xdr:rowOff>38100</xdr:rowOff>
    </xdr:from>
    <xdr:to>
      <xdr:col>2</xdr:col>
      <xdr:colOff>733425</xdr:colOff>
      <xdr:row>13</xdr:row>
      <xdr:rowOff>47625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943100" y="1838325"/>
          <a:ext cx="314325" cy="209550"/>
        </a:xfrm>
        <a:prstGeom prst="rect">
          <a:avLst/>
        </a:prstGeom>
        <a:noFill/>
      </xdr:spPr>
    </xdr:pic>
    <xdr:clientData/>
  </xdr:twoCellAnchor>
  <xdr:twoCellAnchor>
    <xdr:from>
      <xdr:col>7</xdr:col>
      <xdr:colOff>133350</xdr:colOff>
      <xdr:row>12</xdr:row>
      <xdr:rowOff>19050</xdr:rowOff>
    </xdr:from>
    <xdr:to>
      <xdr:col>7</xdr:col>
      <xdr:colOff>685800</xdr:colOff>
      <xdr:row>12</xdr:row>
      <xdr:rowOff>228600</xdr:rowOff>
    </xdr:to>
    <xdr:pic>
      <xdr:nvPicPr>
        <xdr:cNvPr id="4100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467350" y="2524125"/>
          <a:ext cx="552450" cy="209550"/>
        </a:xfrm>
        <a:prstGeom prst="rect">
          <a:avLst/>
        </a:prstGeom>
        <a:noFill/>
      </xdr:spPr>
    </xdr:pic>
    <xdr:clientData/>
  </xdr:twoCellAnchor>
  <xdr:twoCellAnchor>
    <xdr:from>
      <xdr:col>2</xdr:col>
      <xdr:colOff>114300</xdr:colOff>
      <xdr:row>7</xdr:row>
      <xdr:rowOff>47625</xdr:rowOff>
    </xdr:from>
    <xdr:to>
      <xdr:col>3</xdr:col>
      <xdr:colOff>9525</xdr:colOff>
      <xdr:row>8</xdr:row>
      <xdr:rowOff>66675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638300" y="1466850"/>
          <a:ext cx="657225" cy="209550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7</xdr:row>
      <xdr:rowOff>0</xdr:rowOff>
    </xdr:from>
    <xdr:to>
      <xdr:col>6</xdr:col>
      <xdr:colOff>742950</xdr:colOff>
      <xdr:row>8</xdr:row>
      <xdr:rowOff>19050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038725" y="1419225"/>
          <a:ext cx="276225" cy="209550"/>
        </a:xfrm>
        <a:prstGeom prst="rect">
          <a:avLst/>
        </a:prstGeom>
        <a:noFill/>
      </xdr:spPr>
    </xdr:pic>
    <xdr:clientData/>
  </xdr:twoCellAnchor>
  <xdr:twoCellAnchor>
    <xdr:from>
      <xdr:col>6</xdr:col>
      <xdr:colOff>409575</xdr:colOff>
      <xdr:row>9</xdr:row>
      <xdr:rowOff>0</xdr:rowOff>
    </xdr:from>
    <xdr:to>
      <xdr:col>6</xdr:col>
      <xdr:colOff>704850</xdr:colOff>
      <xdr:row>10</xdr:row>
      <xdr:rowOff>0</xdr:rowOff>
    </xdr:to>
    <xdr:pic>
      <xdr:nvPicPr>
        <xdr:cNvPr id="512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4981575" y="1800225"/>
          <a:ext cx="295275" cy="190500"/>
        </a:xfrm>
        <a:prstGeom prst="rect">
          <a:avLst/>
        </a:prstGeom>
        <a:noFill/>
      </xdr:spPr>
    </xdr:pic>
    <xdr:clientData/>
  </xdr:twoCellAnchor>
  <xdr:twoCellAnchor>
    <xdr:from>
      <xdr:col>6</xdr:col>
      <xdr:colOff>390525</xdr:colOff>
      <xdr:row>11</xdr:row>
      <xdr:rowOff>0</xdr:rowOff>
    </xdr:from>
    <xdr:to>
      <xdr:col>6</xdr:col>
      <xdr:colOff>685800</xdr:colOff>
      <xdr:row>12</xdr:row>
      <xdr:rowOff>0</xdr:rowOff>
    </xdr:to>
    <xdr:pic>
      <xdr:nvPicPr>
        <xdr:cNvPr id="512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4962525" y="2181225"/>
          <a:ext cx="295275" cy="190500"/>
        </a:xfrm>
        <a:prstGeom prst="rect">
          <a:avLst/>
        </a:prstGeom>
        <a:noFill/>
      </xdr:spPr>
    </xdr:pic>
    <xdr:clientData/>
  </xdr:twoCellAnchor>
  <xdr:twoCellAnchor>
    <xdr:from>
      <xdr:col>6</xdr:col>
      <xdr:colOff>390525</xdr:colOff>
      <xdr:row>13</xdr:row>
      <xdr:rowOff>0</xdr:rowOff>
    </xdr:from>
    <xdr:to>
      <xdr:col>6</xdr:col>
      <xdr:colOff>714375</xdr:colOff>
      <xdr:row>14</xdr:row>
      <xdr:rowOff>38100</xdr:rowOff>
    </xdr:to>
    <xdr:pic>
      <xdr:nvPicPr>
        <xdr:cNvPr id="5124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4962525" y="2562225"/>
          <a:ext cx="323850" cy="228600"/>
        </a:xfrm>
        <a:prstGeom prst="rect">
          <a:avLst/>
        </a:prstGeom>
        <a:noFill/>
      </xdr:spPr>
    </xdr:pic>
    <xdr:clientData/>
  </xdr:twoCellAnchor>
  <xdr:twoCellAnchor>
    <xdr:from>
      <xdr:col>6</xdr:col>
      <xdr:colOff>361950</xdr:colOff>
      <xdr:row>15</xdr:row>
      <xdr:rowOff>0</xdr:rowOff>
    </xdr:from>
    <xdr:to>
      <xdr:col>6</xdr:col>
      <xdr:colOff>723900</xdr:colOff>
      <xdr:row>16</xdr:row>
      <xdr:rowOff>9525</xdr:rowOff>
    </xdr:to>
    <xdr:pic>
      <xdr:nvPicPr>
        <xdr:cNvPr id="5125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4933950" y="2943225"/>
          <a:ext cx="361950" cy="200025"/>
        </a:xfrm>
        <a:prstGeom prst="rect">
          <a:avLst/>
        </a:prstGeom>
        <a:noFill/>
      </xdr:spPr>
    </xdr:pic>
    <xdr:clientData/>
  </xdr:twoCellAnchor>
  <xdr:twoCellAnchor>
    <xdr:from>
      <xdr:col>7</xdr:col>
      <xdr:colOff>0</xdr:colOff>
      <xdr:row>20</xdr:row>
      <xdr:rowOff>0</xdr:rowOff>
    </xdr:from>
    <xdr:to>
      <xdr:col>7</xdr:col>
      <xdr:colOff>657225</xdr:colOff>
      <xdr:row>21</xdr:row>
      <xdr:rowOff>0</xdr:rowOff>
    </xdr:to>
    <xdr:pic>
      <xdr:nvPicPr>
        <xdr:cNvPr id="5126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448300" y="3895725"/>
          <a:ext cx="657225" cy="190500"/>
        </a:xfrm>
        <a:prstGeom prst="rect">
          <a:avLst/>
        </a:prstGeom>
        <a:noFill/>
      </xdr:spPr>
    </xdr:pic>
    <xdr:clientData/>
  </xdr:twoCellAnchor>
  <xdr:twoCellAnchor>
    <xdr:from>
      <xdr:col>4</xdr:col>
      <xdr:colOff>571500</xdr:colOff>
      <xdr:row>3</xdr:row>
      <xdr:rowOff>19050</xdr:rowOff>
    </xdr:from>
    <xdr:to>
      <xdr:col>6</xdr:col>
      <xdr:colOff>28575</xdr:colOff>
      <xdr:row>4</xdr:row>
      <xdr:rowOff>28575</xdr:rowOff>
    </xdr:to>
    <xdr:pic>
      <xdr:nvPicPr>
        <xdr:cNvPr id="5128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3619500" y="628650"/>
          <a:ext cx="981075" cy="20955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oleObject" Target="../embeddings/oleObject2.bin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3.bin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oleObject" Target="../embeddings/oleObject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3:I20"/>
  <sheetViews>
    <sheetView showGridLines="0" tabSelected="1" workbookViewId="0"/>
  </sheetViews>
  <sheetFormatPr baseColWidth="10" defaultRowHeight="15"/>
  <cols>
    <col min="6" max="6" width="16" customWidth="1"/>
    <col min="7" max="8" width="13.42578125" customWidth="1"/>
  </cols>
  <sheetData>
    <row r="3" spans="2:9">
      <c r="B3" s="4" t="s">
        <v>5</v>
      </c>
    </row>
    <row r="4" spans="2:9" ht="15.75">
      <c r="G4" s="2" t="s">
        <v>0</v>
      </c>
      <c r="H4" s="3" t="s">
        <v>1</v>
      </c>
    </row>
    <row r="5" spans="2:9">
      <c r="F5" s="1" t="s">
        <v>3</v>
      </c>
      <c r="G5" s="7"/>
      <c r="H5" s="8"/>
    </row>
    <row r="6" spans="2:9">
      <c r="F6" s="1" t="s">
        <v>4</v>
      </c>
      <c r="G6" s="7"/>
      <c r="H6" s="8"/>
    </row>
    <row r="7" spans="2:9">
      <c r="F7" s="1" t="s">
        <v>2</v>
      </c>
      <c r="G7" s="7"/>
      <c r="H7" s="8"/>
    </row>
    <row r="8" spans="2:9">
      <c r="F8" s="1"/>
    </row>
    <row r="9" spans="2:9" ht="15" customHeight="1">
      <c r="G9" s="5" t="str">
        <f>IF(AND(G7&gt;0,H7&gt;0),IF(G5&gt;0,G5,G6^2)/G7+IF(H5&gt;0,H5,H6^2)/H7,"")</f>
        <v/>
      </c>
      <c r="I9" t="str">
        <f>IF(ISNUMBER(G9),SQRT(G9),"")</f>
        <v/>
      </c>
    </row>
    <row r="10" spans="2:9">
      <c r="F10" s="1"/>
    </row>
    <row r="11" spans="2:9">
      <c r="F11" s="1"/>
    </row>
    <row r="12" spans="2:9">
      <c r="B12" s="4" t="s">
        <v>6</v>
      </c>
      <c r="F12" s="1"/>
    </row>
    <row r="13" spans="2:9" ht="18.75">
      <c r="C13" s="6"/>
      <c r="G13" s="2" t="s">
        <v>7</v>
      </c>
      <c r="H13" s="3" t="s">
        <v>8</v>
      </c>
    </row>
    <row r="14" spans="2:9">
      <c r="C14" s="9">
        <v>0</v>
      </c>
      <c r="F14" s="1" t="s">
        <v>3</v>
      </c>
      <c r="G14" s="7"/>
      <c r="H14" s="8"/>
    </row>
    <row r="15" spans="2:9">
      <c r="F15" s="1" t="s">
        <v>4</v>
      </c>
      <c r="G15" s="7"/>
      <c r="H15" s="8"/>
    </row>
    <row r="16" spans="2:9">
      <c r="F16" s="1" t="s">
        <v>2</v>
      </c>
      <c r="G16" s="7"/>
      <c r="H16" s="8"/>
    </row>
    <row r="17" spans="3:9">
      <c r="F17" s="1"/>
      <c r="G17" s="5" t="str">
        <f>IF(C14=1,IF(AND(G16&gt;0,H16&gt;0),IF(G14&gt;0,(G16-1)*G14+(H16-1)*H14,(G16-1)*G15^2+(H16-1)*H15^2)/(G16+H16-2)*(1/G16+1/H16),""),"")</f>
        <v/>
      </c>
      <c r="I17" s="5" t="str">
        <f>IF(ISNUMBER(G17),SQRT(G17),"")</f>
        <v/>
      </c>
    </row>
    <row r="18" spans="3:9">
      <c r="F18" s="1"/>
    </row>
    <row r="19" spans="3:9">
      <c r="F19" s="1"/>
    </row>
    <row r="20" spans="3:9" ht="18.75">
      <c r="C20" s="6" t="s">
        <v>9</v>
      </c>
      <c r="G20" s="5" t="str">
        <f>IF(C14=2,IF(AND(G16&gt;0,H16&gt;0),IF(G14&gt;0,G14/G16+H14/H16,G15^2/G16+H15^2/H16),""),"")</f>
        <v/>
      </c>
      <c r="I20" s="5" t="str">
        <f>IF(ISNUMBER(G20),SQRT(G20),"")</f>
        <v/>
      </c>
    </row>
  </sheetData>
  <sheetProtection sheet="1" objects="1" scenarios="1"/>
  <pageMargins left="0.7" right="0.7" top="0.75" bottom="0.75" header="0.3" footer="0.3"/>
  <pageSetup orientation="portrait" horizontalDpi="4294967293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C3:E8"/>
  <sheetViews>
    <sheetView showGridLines="0" workbookViewId="0">
      <selection activeCell="F10" sqref="F10"/>
    </sheetView>
  </sheetViews>
  <sheetFormatPr baseColWidth="10" defaultRowHeight="15"/>
  <sheetData>
    <row r="3" spans="3:5" ht="15.75">
      <c r="D3" s="2" t="s">
        <v>7</v>
      </c>
      <c r="E3" s="3" t="s">
        <v>8</v>
      </c>
    </row>
    <row r="4" spans="3:5">
      <c r="C4" s="1" t="s">
        <v>3</v>
      </c>
      <c r="D4" s="7"/>
      <c r="E4" s="8"/>
    </row>
    <row r="5" spans="3:5">
      <c r="C5" s="1" t="s">
        <v>4</v>
      </c>
      <c r="D5" s="7"/>
      <c r="E5" s="8"/>
    </row>
    <row r="6" spans="3:5">
      <c r="C6" s="1" t="s">
        <v>2</v>
      </c>
      <c r="D6" s="7"/>
      <c r="E6" s="8"/>
    </row>
    <row r="7" spans="3:5" ht="15.75" thickBot="1"/>
    <row r="8" spans="3:5" ht="21.75" thickBot="1">
      <c r="C8" s="10" t="s">
        <v>10</v>
      </c>
      <c r="D8" s="11" t="str">
        <f>IF(AND(D6&gt;0,E6&gt;0),IF(AND(D4&gt;0,E4&gt;0),(D4/D6+E4/E6)^2/((D4/D6)^2/(D6+1)+(E4/E6)^2/(E6+1))-2,(D5^2/D6+E5^2/E6)^2/((D5^2/D6)^2/(D6+1)+(E5^2/E6)^2/(E6+1))-2),"")</f>
        <v/>
      </c>
    </row>
  </sheetData>
  <sheetProtection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2:O20"/>
  <sheetViews>
    <sheetView showGridLines="0" workbookViewId="0">
      <selection activeCell="D14" sqref="D14"/>
    </sheetView>
  </sheetViews>
  <sheetFormatPr baseColWidth="10" defaultRowHeight="15"/>
  <cols>
    <col min="3" max="3" width="12.7109375" bestFit="1" customWidth="1"/>
    <col min="7" max="7" width="1.5703125" style="16" customWidth="1"/>
    <col min="8" max="8" width="15.5703125" customWidth="1"/>
    <col min="9" max="9" width="1.7109375" style="16" customWidth="1"/>
  </cols>
  <sheetData>
    <row r="2" spans="1:15" ht="15.75" thickBot="1"/>
    <row r="3" spans="1:15" ht="15.75" thickBot="1">
      <c r="A3" s="92" t="s">
        <v>11</v>
      </c>
      <c r="B3" s="93"/>
      <c r="C3" s="93"/>
      <c r="D3" s="93"/>
      <c r="E3" s="93"/>
      <c r="F3" s="94"/>
      <c r="J3" s="18" t="s">
        <v>16</v>
      </c>
      <c r="K3" s="19"/>
      <c r="L3" s="19"/>
      <c r="M3" s="19"/>
      <c r="N3" s="19"/>
      <c r="O3" s="17"/>
    </row>
    <row r="5" spans="1:15">
      <c r="C5" t="s">
        <v>20</v>
      </c>
    </row>
    <row r="6" spans="1:15">
      <c r="B6" s="1" t="s">
        <v>3</v>
      </c>
      <c r="C6" s="29"/>
    </row>
    <row r="7" spans="1:15" ht="15.75" thickBot="1">
      <c r="B7" s="1" t="s">
        <v>19</v>
      </c>
      <c r="C7" s="29">
        <v>10</v>
      </c>
      <c r="J7" s="20"/>
      <c r="K7" s="23"/>
      <c r="L7" s="22" t="s">
        <v>17</v>
      </c>
    </row>
    <row r="8" spans="1:15">
      <c r="A8" s="24"/>
      <c r="B8" s="25"/>
      <c r="C8" s="22" t="s">
        <v>17</v>
      </c>
      <c r="J8" s="24"/>
      <c r="K8" s="25" t="s">
        <v>12</v>
      </c>
      <c r="L8" s="29">
        <v>790</v>
      </c>
    </row>
    <row r="9" spans="1:15">
      <c r="A9" s="26"/>
      <c r="B9" s="23" t="s">
        <v>12</v>
      </c>
      <c r="C9" s="29">
        <v>70</v>
      </c>
      <c r="J9" s="26"/>
      <c r="K9" s="23" t="s">
        <v>3</v>
      </c>
      <c r="L9" s="29">
        <v>125</v>
      </c>
    </row>
    <row r="10" spans="1:15">
      <c r="A10" s="26"/>
      <c r="B10" s="23" t="s">
        <v>18</v>
      </c>
      <c r="C10" s="29">
        <v>100</v>
      </c>
      <c r="J10" s="26"/>
      <c r="K10" s="23" t="s">
        <v>22</v>
      </c>
      <c r="L10" s="29"/>
    </row>
    <row r="11" spans="1:15" ht="15.75" thickBot="1">
      <c r="A11" s="27"/>
      <c r="B11" s="28" t="s">
        <v>13</v>
      </c>
      <c r="C11" s="29">
        <v>95</v>
      </c>
      <c r="D11" t="s">
        <v>14</v>
      </c>
      <c r="K11" s="30" t="s">
        <v>2</v>
      </c>
      <c r="L11" s="29">
        <v>9</v>
      </c>
    </row>
    <row r="12" spans="1:15" ht="15.75" thickBot="1">
      <c r="J12" s="27"/>
      <c r="K12" s="28" t="s">
        <v>13</v>
      </c>
      <c r="L12" s="29">
        <v>95</v>
      </c>
      <c r="M12" t="s">
        <v>14</v>
      </c>
    </row>
    <row r="13" spans="1:15">
      <c r="B13" s="1"/>
      <c r="K13" s="1"/>
    </row>
    <row r="14" spans="1:15">
      <c r="C14" s="57">
        <f>IF(C10&gt;0,IF(C6&gt;0,SQRT(C6/C10),C7/SQRT(C10)),"")</f>
        <v>1</v>
      </c>
      <c r="L14" s="57">
        <f>IF(L11&gt;0,IF(L9&gt;0,SQRT(L9/L11),L10/SQRT(L11)),"")</f>
        <v>3.7267799624996494</v>
      </c>
    </row>
    <row r="16" spans="1:15">
      <c r="C16" s="57">
        <f>IF(C11&lt;&gt;0,NORMSINV(1-(1-C11/100)/2),"")</f>
        <v>1.959963984540054</v>
      </c>
      <c r="L16" s="57">
        <f>IF(L12&lt;&gt;0,TINV(1-L12/100,(L11-1)),"")</f>
        <v>2.3060041332991164</v>
      </c>
    </row>
    <row r="17" spans="2:14">
      <c r="B17" s="13" t="s">
        <v>15</v>
      </c>
      <c r="C17" s="14">
        <f>C11/100</f>
        <v>0.95</v>
      </c>
      <c r="D17" s="21" t="str">
        <f>TEXT(C17*100,"#####.##")</f>
        <v>95.</v>
      </c>
      <c r="E17" s="21" t="str">
        <f>LEFT(D17,FIND(".",D17)-1)</f>
        <v>95</v>
      </c>
      <c r="K17" s="13" t="s">
        <v>15</v>
      </c>
      <c r="L17" s="14">
        <f>L12/100</f>
        <v>0.95</v>
      </c>
      <c r="M17" s="21" t="str">
        <f>TEXT(L17*100,"#####.##")</f>
        <v>95.</v>
      </c>
      <c r="N17" s="21" t="str">
        <f>LEFT(M17,FIND(".",M17)-1)</f>
        <v>95</v>
      </c>
    </row>
    <row r="18" spans="2:14">
      <c r="B18" s="15" t="str">
        <f>CONCATENATE(B17,E17,"% para μ es: ")</f>
        <v xml:space="preserve">El intervalo de confianza del 95% para μ es: </v>
      </c>
      <c r="C18" s="12"/>
      <c r="D18" s="12"/>
      <c r="E18" s="12"/>
      <c r="K18" s="15" t="str">
        <f>CONCATENATE(K17,N17,"% para μ es: ")</f>
        <v xml:space="preserve">El intervalo de confianza del 95% para μ es: </v>
      </c>
      <c r="L18" s="12"/>
      <c r="M18" s="12"/>
      <c r="N18" s="12"/>
    </row>
    <row r="20" spans="2:14">
      <c r="B20">
        <f>IF(C14&gt;0,C9-C16*C14,"")</f>
        <v>68.040036015459947</v>
      </c>
      <c r="C20" t="s">
        <v>21</v>
      </c>
      <c r="D20">
        <f>IF(C14&gt;0,C9+C16*C14,"")</f>
        <v>71.959963984540053</v>
      </c>
      <c r="K20">
        <f>IF(L14&gt;0,L8-L14*L16,"")</f>
        <v>781.40603000257943</v>
      </c>
      <c r="L20" t="s">
        <v>21</v>
      </c>
      <c r="M20">
        <f>IF(L14&gt;0,L8+L16*L14,"")</f>
        <v>798.59396999742057</v>
      </c>
    </row>
  </sheetData>
  <sheetProtection sheet="1" objects="1" scenarios="1"/>
  <mergeCells count="1">
    <mergeCell ref="A3:F3"/>
  </mergeCells>
  <pageMargins left="0.7" right="0.7" top="0.75" bottom="0.75" header="0.3" footer="0.3"/>
  <pageSetup orientation="portrait" horizontalDpi="4294967293" verticalDpi="0" r:id="rId1"/>
  <drawing r:id="rId2"/>
  <legacyDrawing r:id="rId3"/>
  <oleObjects>
    <oleObject progId="Equation.3" shapeId="2049" r:id="rId4"/>
    <oleObject progId="Equation.3" shapeId="2053" r:id="rId5"/>
  </oleObject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A2:R20"/>
  <sheetViews>
    <sheetView showGridLines="0" topLeftCell="A4" workbookViewId="0">
      <selection activeCell="P19" sqref="P19"/>
    </sheetView>
  </sheetViews>
  <sheetFormatPr baseColWidth="10" defaultRowHeight="15"/>
  <cols>
    <col min="7" max="7" width="1.5703125" style="16" customWidth="1"/>
    <col min="8" max="8" width="6.5703125" customWidth="1"/>
    <col min="9" max="9" width="1.7109375" style="16" customWidth="1"/>
    <col min="10" max="10" width="7.28515625" customWidth="1"/>
    <col min="11" max="11" width="14" customWidth="1"/>
    <col min="14" max="14" width="9.28515625" customWidth="1"/>
    <col min="15" max="15" width="13.42578125" customWidth="1"/>
    <col min="17" max="17" width="13.140625" customWidth="1"/>
    <col min="18" max="18" width="14.140625" customWidth="1"/>
  </cols>
  <sheetData>
    <row r="2" spans="1:18" ht="15.75" thickBot="1"/>
    <row r="3" spans="1:18" ht="15.75" thickBot="1">
      <c r="A3" s="92" t="s">
        <v>11</v>
      </c>
      <c r="B3" s="93"/>
      <c r="C3" s="93"/>
      <c r="D3" s="93"/>
      <c r="E3" s="93"/>
      <c r="F3" s="94"/>
    </row>
    <row r="4" spans="1:18" ht="15.75" thickBot="1"/>
    <row r="5" spans="1:18" ht="15.75" thickBot="1">
      <c r="C5" s="34" t="s">
        <v>0</v>
      </c>
      <c r="D5" s="35" t="s">
        <v>1</v>
      </c>
    </row>
    <row r="6" spans="1:18" ht="15" customHeight="1" thickBot="1">
      <c r="B6" s="36" t="s">
        <v>26</v>
      </c>
      <c r="C6" s="45"/>
      <c r="D6" s="46"/>
      <c r="O6" s="95" t="s">
        <v>29</v>
      </c>
      <c r="P6" s="96"/>
      <c r="Q6" s="96"/>
      <c r="R6" s="97"/>
    </row>
    <row r="7" spans="1:18" ht="15.75" thickBot="1">
      <c r="B7" s="37" t="s">
        <v>23</v>
      </c>
      <c r="C7" s="47"/>
      <c r="D7" s="48"/>
      <c r="O7" s="38"/>
      <c r="P7" s="39"/>
      <c r="Q7" s="39">
        <f>IF(AND(L11&gt;0,M11&gt;0),FINV(1-(1-L12/100)/2,M11-1,L11-1),"")</f>
        <v>0.28787755797347059</v>
      </c>
      <c r="R7" s="40"/>
    </row>
    <row r="8" spans="1:18" ht="15.75" thickBot="1">
      <c r="K8" s="1"/>
      <c r="L8" s="22" t="s">
        <v>7</v>
      </c>
      <c r="M8" s="22" t="s">
        <v>8</v>
      </c>
      <c r="O8" s="38"/>
      <c r="P8" s="39"/>
      <c r="Q8" s="39">
        <f>IF(AND(L11&gt;0,M11&gt;0),FINV((1-L12/100)/2,M11-1,L11-1),"")</f>
        <v>3.4736990512200876</v>
      </c>
      <c r="R8" s="40"/>
    </row>
    <row r="9" spans="1:18" ht="15.75" thickBot="1">
      <c r="B9" s="1"/>
      <c r="C9" s="24" t="s">
        <v>7</v>
      </c>
      <c r="D9" s="31" t="s">
        <v>8</v>
      </c>
      <c r="K9" s="32" t="s">
        <v>25</v>
      </c>
      <c r="L9" s="29">
        <v>36300</v>
      </c>
      <c r="M9" s="29">
        <v>38100</v>
      </c>
      <c r="O9" s="38" t="s">
        <v>30</v>
      </c>
      <c r="P9" s="39"/>
      <c r="Q9" s="39"/>
      <c r="R9" s="40"/>
    </row>
    <row r="10" spans="1:18" ht="15.75" thickBot="1">
      <c r="B10" s="33" t="s">
        <v>25</v>
      </c>
      <c r="C10" s="49"/>
      <c r="D10" s="50"/>
      <c r="K10" s="32" t="s">
        <v>24</v>
      </c>
      <c r="L10" s="29">
        <f>100^2</f>
        <v>10000</v>
      </c>
      <c r="M10" s="29">
        <f>150^2</f>
        <v>22500</v>
      </c>
      <c r="O10" s="41" t="str">
        <f>CONCATENATE($K$17,$N$17,"% para σ²1 / σ²2 es: ")</f>
        <v xml:space="preserve">El intervalo de confianza del 95% para σ²1 / σ²2 es: </v>
      </c>
      <c r="P10" s="39"/>
      <c r="Q10" s="39"/>
      <c r="R10" s="40"/>
    </row>
    <row r="11" spans="1:18" ht="15.75" thickBot="1">
      <c r="B11" s="33" t="s">
        <v>2</v>
      </c>
      <c r="C11" s="51"/>
      <c r="D11" s="52"/>
      <c r="K11" s="32" t="s">
        <v>2</v>
      </c>
      <c r="L11" s="29">
        <v>12</v>
      </c>
      <c r="M11" s="29">
        <v>12</v>
      </c>
      <c r="O11" s="38"/>
      <c r="P11" s="39"/>
      <c r="Q11" s="39"/>
      <c r="R11" s="40"/>
    </row>
    <row r="12" spans="1:18" ht="15.75" thickBot="1">
      <c r="B12" s="1" t="s">
        <v>13</v>
      </c>
      <c r="C12" s="53"/>
      <c r="K12" s="1" t="s">
        <v>13</v>
      </c>
      <c r="L12" s="54">
        <v>95</v>
      </c>
      <c r="O12" s="38"/>
      <c r="P12" s="39">
        <f>IF(Q7&gt;0,L10/M10*Q7,"")</f>
        <v>0.12794558132154249</v>
      </c>
      <c r="Q12" s="39" t="s">
        <v>28</v>
      </c>
      <c r="R12" s="79">
        <f>IF(Q8&gt;0,L10/M10*Q8,"")</f>
        <v>1.5438662449867055</v>
      </c>
    </row>
    <row r="13" spans="1:18" ht="15.75" thickBot="1">
      <c r="B13" s="1"/>
      <c r="K13" s="1"/>
      <c r="L13" s="21">
        <f>IF(AND(L11&gt;0,M11&gt;0),((L10/L11+M10/M11)^2/((L10/L11)^2/(L11+1)+(M10/M11)^2/(M11+1)))-2,"")</f>
        <v>20.649484536082475</v>
      </c>
      <c r="O13" s="42"/>
      <c r="P13" s="43"/>
      <c r="Q13" s="55">
        <f>IF(R12&lt;&gt;"",IF(AND(R12&gt;=1,P12&lt;1),1,0),"")</f>
        <v>1</v>
      </c>
      <c r="R13" s="44"/>
    </row>
    <row r="14" spans="1:18">
      <c r="B14" s="1"/>
      <c r="C14" t="str">
        <f>IF(AND(C6&gt;0,D6&gt;0,C11&gt;0,D11&gt;0),SQRT(C6/C11+D6/D11),IF(AND(C7&gt;0,D7&gt;0,C11&gt;0,D11&gt;0),SQRT(C7^2/C11+D7^2/D11),""))</f>
        <v/>
      </c>
      <c r="L14">
        <f>IF(Q13=1,SQRT(((L11-1)*L10+(M11-1)*M10)/(L11+M11-2)*(1/L11+1/M11)),SQRT(L10/L11+M10/M11))</f>
        <v>52.041649986653319</v>
      </c>
    </row>
    <row r="15" spans="1:18">
      <c r="C15" t="str">
        <f>IF(C12&lt;&gt;0,NORMSINV(1-(1-C12/100)/2),"")</f>
        <v/>
      </c>
      <c r="L15">
        <f>IF(Q13=1,TINV((1-L12/100),L11+M11-2),TINV((1-L12/100),INT(GLib2)))</f>
        <v>2.0738730583156064</v>
      </c>
    </row>
    <row r="17" spans="2:14">
      <c r="B17" s="13" t="s">
        <v>15</v>
      </c>
      <c r="C17" s="14">
        <f>C12/100</f>
        <v>0</v>
      </c>
      <c r="D17" s="21" t="str">
        <f>TEXT(C17*100,"#####.##")</f>
        <v>.</v>
      </c>
      <c r="E17" s="21" t="str">
        <f>LEFT(D17,FIND(".",D17)-1)</f>
        <v/>
      </c>
      <c r="K17" s="56" t="s">
        <v>15</v>
      </c>
      <c r="L17" s="14">
        <f>L12/100</f>
        <v>0.95</v>
      </c>
      <c r="M17" s="21" t="str">
        <f>TEXT(L17*100,"#####.##")</f>
        <v>95.</v>
      </c>
      <c r="N17" s="21" t="str">
        <f>LEFT(M17,FIND(".",M17)-1)</f>
        <v>95</v>
      </c>
    </row>
    <row r="18" spans="2:14">
      <c r="B18" s="15" t="str">
        <f>CONCATENATE(B17,E17,"% para  μ1 – μ2  es: ")</f>
        <v xml:space="preserve">El intervalo de confianza del % para  μ1 – μ2  es: </v>
      </c>
      <c r="C18" s="12"/>
      <c r="D18" s="12"/>
      <c r="E18" s="12"/>
      <c r="K18" s="15" t="str">
        <f>CONCATENATE($K$17,$N$17,"% para  μ1 – μ2  es: ")</f>
        <v xml:space="preserve">El intervalo de confianza del 95% para  μ1 – μ2  es: </v>
      </c>
      <c r="L18" s="12"/>
      <c r="M18" s="12"/>
      <c r="N18" s="12"/>
    </row>
    <row r="20" spans="2:14">
      <c r="B20" t="str">
        <f>IF(ISERROR((C10-D10)-C15*C14),"",(C10-D10)-C15*C14)</f>
        <v/>
      </c>
      <c r="C20" t="s">
        <v>27</v>
      </c>
      <c r="D20" t="str">
        <f>IF(ISERROR((C10-D10)+C15*C14),"",(C10-D10)+C15*C14)</f>
        <v/>
      </c>
      <c r="K20">
        <f>IF(ISERROR((L9-M9)-L15*L14),"",(L9-M9)-L15*L14)</f>
        <v>-1907.9277758176111</v>
      </c>
      <c r="L20" t="s">
        <v>27</v>
      </c>
      <c r="M20">
        <f>IF(ISERROR((L9-M9)+L15*L14),"",(L9-M9)+L15*L14)</f>
        <v>-1692.0722241823889</v>
      </c>
    </row>
  </sheetData>
  <sheetProtection sheet="1" scenarios="1"/>
  <mergeCells count="2">
    <mergeCell ref="A3:F3"/>
    <mergeCell ref="O6:R6"/>
  </mergeCells>
  <pageMargins left="0.7" right="0.7" top="0.75" bottom="0.75" header="0.3" footer="0.3"/>
  <drawing r:id="rId1"/>
  <legacyDrawing r:id="rId2"/>
  <oleObjects>
    <oleObject progId="Equation.3" shapeId="3086" r:id="rId3"/>
    <oleObject progId="Equation.3" shapeId="3087" r:id="rId4"/>
  </oleObject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C1:L19"/>
  <sheetViews>
    <sheetView showGridLines="0" workbookViewId="0"/>
  </sheetViews>
  <sheetFormatPr baseColWidth="10" defaultRowHeight="15"/>
  <cols>
    <col min="6" max="6" width="12.7109375" customWidth="1"/>
    <col min="7" max="7" width="13.85546875" customWidth="1"/>
  </cols>
  <sheetData>
    <row r="1" spans="3:12" ht="19.5" thickBot="1">
      <c r="C1" s="99" t="s">
        <v>31</v>
      </c>
      <c r="D1" s="100"/>
      <c r="E1" s="101"/>
    </row>
    <row r="3" spans="3:12" ht="15.75" thickBot="1">
      <c r="D3" s="62" t="s">
        <v>7</v>
      </c>
      <c r="E3" s="63" t="s">
        <v>8</v>
      </c>
    </row>
    <row r="4" spans="3:12">
      <c r="C4" s="1" t="s">
        <v>32</v>
      </c>
      <c r="D4" s="75">
        <v>40</v>
      </c>
      <c r="E4" s="76">
        <v>50</v>
      </c>
    </row>
    <row r="5" spans="3:12">
      <c r="C5" s="1" t="s">
        <v>33</v>
      </c>
      <c r="D5" s="77">
        <v>10</v>
      </c>
      <c r="E5" s="78">
        <v>15</v>
      </c>
    </row>
    <row r="6" spans="3:12" ht="15.75" thickBot="1">
      <c r="C6" s="1" t="s">
        <v>34</v>
      </c>
      <c r="D6" s="59">
        <f>IF(ISERROR(D5/D4),"",D5/D4)</f>
        <v>0.25</v>
      </c>
      <c r="E6" s="61">
        <f>IF(ISERROR(E5/E4),"",E5/E4)</f>
        <v>0.3</v>
      </c>
    </row>
    <row r="7" spans="3:12" ht="15.75" thickBot="1">
      <c r="C7" s="1" t="s">
        <v>35</v>
      </c>
      <c r="D7" s="60">
        <v>95</v>
      </c>
      <c r="E7" s="65">
        <v>2</v>
      </c>
    </row>
    <row r="8" spans="3:12">
      <c r="C8" s="1"/>
      <c r="D8" s="64">
        <f>NORMSINV(1-(1-D7/100)/2)</f>
        <v>1.959963984540054</v>
      </c>
      <c r="E8" s="64"/>
    </row>
    <row r="9" spans="3:12" ht="15.75" thickBot="1">
      <c r="C9" s="13" t="s">
        <v>38</v>
      </c>
      <c r="D9" s="66">
        <f>D7</f>
        <v>95</v>
      </c>
      <c r="E9" s="65"/>
    </row>
    <row r="10" spans="3:12" ht="21.75" thickBot="1">
      <c r="C10" s="67"/>
      <c r="D10" s="68"/>
      <c r="H10" s="103"/>
      <c r="I10" s="104"/>
    </row>
    <row r="11" spans="3:12">
      <c r="C11" s="1"/>
      <c r="G11" s="12"/>
      <c r="H11" s="12"/>
      <c r="I11" s="12"/>
      <c r="J11" s="12"/>
    </row>
    <row r="12" spans="3:12" ht="17.25" customHeight="1" thickBot="1">
      <c r="C12" s="1"/>
      <c r="D12" s="64"/>
      <c r="I12" s="64"/>
    </row>
    <row r="13" spans="3:12" ht="21" customHeight="1" thickBot="1">
      <c r="C13" s="1"/>
      <c r="D13" s="69">
        <f>IF(ISERROR(SQRT(D6*(1-D6)/D4)),"",SQRT(D6*(1-D6)/D4))</f>
        <v>6.8465319688145759E-2</v>
      </c>
      <c r="I13" s="70">
        <f>IF(ISERROR(SQRT(D6*(1-D6)/D4+E6*(1-E6)/E4)),"",SQRT(D6*(1-D6)/D4+E6*(1-E6)/E4))</f>
        <v>9.4273538174824006E-2</v>
      </c>
    </row>
    <row r="14" spans="3:12" ht="15.75">
      <c r="C14" s="102" t="str">
        <f>CONCATENATE(C9,D9,"%  para π es:")</f>
        <v>El Intervalo de confianza del 95%  para π es:</v>
      </c>
      <c r="D14" s="102"/>
      <c r="E14" s="102"/>
      <c r="F14" s="102"/>
      <c r="I14" s="102" t="str">
        <f>CONCATENATE(C9,D7,"% para π1 - π2 es: ")</f>
        <v xml:space="preserve">El Intervalo de confianza del 95% para π1 - π2 es: </v>
      </c>
      <c r="J14" s="102"/>
      <c r="K14" s="102"/>
      <c r="L14" s="102"/>
    </row>
    <row r="16" spans="3:12" ht="15.75">
      <c r="E16" s="72"/>
      <c r="F16" s="72"/>
      <c r="G16" s="98" t="str">
        <f>CHOOSE(E7,C14,I14)</f>
        <v xml:space="preserve">El Intervalo de confianza del 95% para π1 - π2 es: </v>
      </c>
      <c r="H16" s="98"/>
      <c r="I16" s="98"/>
      <c r="J16" s="98"/>
    </row>
    <row r="17" spans="8:10" ht="15.75" thickBot="1"/>
    <row r="18" spans="8:10" ht="15.75" thickBot="1">
      <c r="H18" s="58" t="s">
        <v>37</v>
      </c>
      <c r="I18" s="71"/>
      <c r="J18" s="58" t="s">
        <v>36</v>
      </c>
    </row>
    <row r="19" spans="8:10" ht="19.5" thickBot="1">
      <c r="H19" s="73">
        <f>IF(ISERROR(CHOOSE($E$7,D6-D8*D13,(D6-E6)-D8*I13)),"",CHOOSE($E$7,D6-D8*D13,(D6-E6)-D8*I13))</f>
        <v>-0.23477273951781694</v>
      </c>
      <c r="J19" s="74">
        <f>IF(ISERROR(CHOOSE($E$7,D6+D8*D13,(D6-E6)+D8*I13)),"",CHOOSE($E$7,D6+D8*D13,(D6-E6)+D8*I13))</f>
        <v>0.13477273951781696</v>
      </c>
    </row>
  </sheetData>
  <mergeCells count="5">
    <mergeCell ref="G16:J16"/>
    <mergeCell ref="C1:E1"/>
    <mergeCell ref="C14:F14"/>
    <mergeCell ref="I14:L14"/>
    <mergeCell ref="H10:I10"/>
  </mergeCell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A1:U51"/>
  <sheetViews>
    <sheetView showGridLines="0" workbookViewId="0"/>
  </sheetViews>
  <sheetFormatPr baseColWidth="10" defaultRowHeight="15"/>
  <cols>
    <col min="7" max="7" width="13.140625" customWidth="1"/>
    <col min="10" max="10" width="13.85546875" customWidth="1"/>
  </cols>
  <sheetData>
    <row r="1" spans="1:21" ht="15.75" thickBot="1">
      <c r="A1" s="80" t="s">
        <v>39</v>
      </c>
      <c r="B1" s="17" t="s">
        <v>40</v>
      </c>
      <c r="D1" s="81" t="s">
        <v>41</v>
      </c>
    </row>
    <row r="2" spans="1:21" ht="15.75" thickBot="1">
      <c r="A2" s="82"/>
      <c r="B2" s="86"/>
      <c r="D2" s="84" t="str">
        <f t="shared" ref="D2:D51" si="0">IF(AND(A2&lt;&gt;"",B2&lt;&gt;""),A2-B2,"")</f>
        <v/>
      </c>
    </row>
    <row r="3" spans="1:21" ht="16.5" thickBot="1">
      <c r="A3" s="82"/>
      <c r="B3" s="86"/>
      <c r="D3" s="84" t="str">
        <f t="shared" si="0"/>
        <v/>
      </c>
      <c r="F3" s="89" t="s">
        <v>43</v>
      </c>
      <c r="G3" s="88"/>
    </row>
    <row r="4" spans="1:21">
      <c r="A4" s="82"/>
      <c r="B4" s="86"/>
      <c r="D4" s="84" t="str">
        <f t="shared" si="0"/>
        <v/>
      </c>
      <c r="G4" t="str">
        <f>IF(G3&lt;&gt;"",TINV((1-G3/100),COUNT(Difer)-1),"")</f>
        <v/>
      </c>
    </row>
    <row r="5" spans="1:21">
      <c r="A5" s="82"/>
      <c r="B5" s="86"/>
      <c r="D5" s="84" t="str">
        <f t="shared" si="0"/>
        <v/>
      </c>
    </row>
    <row r="6" spans="1:21" ht="18.75">
      <c r="A6" s="82"/>
      <c r="B6" s="86"/>
      <c r="D6" s="84" t="str">
        <f t="shared" si="0"/>
        <v/>
      </c>
      <c r="F6" s="6" t="s">
        <v>42</v>
      </c>
    </row>
    <row r="7" spans="1:21">
      <c r="A7" s="82"/>
      <c r="B7" s="86"/>
      <c r="D7" s="84" t="str">
        <f t="shared" si="0"/>
        <v/>
      </c>
    </row>
    <row r="8" spans="1:21">
      <c r="A8" s="82"/>
      <c r="B8" s="86"/>
      <c r="D8" s="84" t="str">
        <f t="shared" si="0"/>
        <v/>
      </c>
      <c r="H8" t="str">
        <f>IF(D2&lt;&gt;"",AVERAGE(Difer),"")</f>
        <v/>
      </c>
      <c r="K8" s="90"/>
      <c r="L8" s="91"/>
      <c r="M8" s="91"/>
      <c r="N8" s="91"/>
      <c r="O8" s="91"/>
      <c r="P8" s="91"/>
      <c r="Q8" s="91"/>
      <c r="R8" s="91"/>
      <c r="S8" s="91"/>
      <c r="T8" s="91"/>
      <c r="U8" s="91"/>
    </row>
    <row r="9" spans="1:21">
      <c r="A9" s="82"/>
      <c r="B9" s="86"/>
      <c r="D9" s="84" t="str">
        <f t="shared" si="0"/>
        <v/>
      </c>
      <c r="K9" s="90"/>
      <c r="L9" s="91"/>
      <c r="M9" s="91"/>
      <c r="N9" s="91"/>
      <c r="O9" s="91"/>
      <c r="P9" s="91"/>
      <c r="Q9" s="91"/>
      <c r="R9" s="91"/>
      <c r="S9" s="91"/>
      <c r="T9" s="91"/>
      <c r="U9" s="91"/>
    </row>
    <row r="10" spans="1:21">
      <c r="A10" s="82"/>
      <c r="B10" s="86"/>
      <c r="D10" s="84" t="str">
        <f t="shared" si="0"/>
        <v/>
      </c>
      <c r="H10" t="str">
        <f>IF(D2&lt;&gt;"",VAR(Difer),"")</f>
        <v/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1">
      <c r="A11" s="82"/>
      <c r="B11" s="86"/>
      <c r="D11" s="84" t="str">
        <f t="shared" si="0"/>
        <v/>
      </c>
      <c r="K11" s="20"/>
      <c r="L11" s="91"/>
      <c r="M11" s="91"/>
      <c r="N11" s="20"/>
      <c r="O11" s="20"/>
      <c r="P11" s="20"/>
      <c r="Q11" s="20"/>
      <c r="R11" s="20"/>
      <c r="S11" s="20"/>
      <c r="T11" s="20"/>
      <c r="U11" s="20"/>
    </row>
    <row r="12" spans="1:21">
      <c r="A12" s="82"/>
      <c r="B12" s="86"/>
      <c r="D12" s="84" t="str">
        <f t="shared" si="0"/>
        <v/>
      </c>
      <c r="H12" t="str">
        <f>IF(H10&lt;&gt;"",SQRT(H10),"")</f>
        <v/>
      </c>
      <c r="K12" s="20"/>
      <c r="L12" s="91"/>
      <c r="M12" s="91"/>
      <c r="N12" s="20"/>
      <c r="O12" s="20"/>
      <c r="P12" s="20"/>
      <c r="Q12" s="20"/>
      <c r="R12" s="20"/>
      <c r="S12" s="20"/>
      <c r="T12" s="20"/>
      <c r="U12" s="20"/>
    </row>
    <row r="13" spans="1:21">
      <c r="A13" s="82"/>
      <c r="B13" s="86"/>
      <c r="D13" s="84" t="str">
        <f t="shared" si="0"/>
        <v/>
      </c>
      <c r="K13" s="20"/>
      <c r="L13" s="91"/>
      <c r="M13" s="91"/>
      <c r="N13" s="20"/>
      <c r="O13" s="20"/>
      <c r="P13" s="20"/>
      <c r="Q13" s="20"/>
      <c r="R13" s="20"/>
      <c r="S13" s="20"/>
      <c r="T13" s="20"/>
      <c r="U13" s="20"/>
    </row>
    <row r="14" spans="1:21">
      <c r="A14" s="82"/>
      <c r="B14" s="86"/>
      <c r="D14" s="84" t="str">
        <f t="shared" si="0"/>
        <v/>
      </c>
      <c r="H14" t="str">
        <f>IF(H8&lt;&gt;"",H10/COUNT(Difer),"")</f>
        <v/>
      </c>
      <c r="K14" s="20"/>
      <c r="L14" s="91"/>
      <c r="M14" s="91"/>
      <c r="N14" s="20"/>
      <c r="O14" s="20"/>
      <c r="P14" s="20"/>
      <c r="Q14" s="20"/>
      <c r="R14" s="20"/>
      <c r="S14" s="20"/>
      <c r="T14" s="20"/>
      <c r="U14" s="20"/>
    </row>
    <row r="15" spans="1:21">
      <c r="A15" s="82"/>
      <c r="B15" s="86"/>
      <c r="D15" s="84" t="str">
        <f t="shared" si="0"/>
        <v/>
      </c>
      <c r="K15" s="20"/>
      <c r="L15" s="91"/>
      <c r="M15" s="91"/>
      <c r="N15" s="20"/>
      <c r="O15" s="20"/>
      <c r="P15" s="20"/>
      <c r="Q15" s="20"/>
      <c r="R15" s="20"/>
      <c r="S15" s="20"/>
      <c r="T15" s="20"/>
      <c r="U15" s="20"/>
    </row>
    <row r="16" spans="1:21">
      <c r="A16" s="82"/>
      <c r="B16" s="86"/>
      <c r="D16" s="84" t="str">
        <f t="shared" si="0"/>
        <v/>
      </c>
      <c r="H16" t="str">
        <f>IF(H14&lt;&gt;"",SQRT(H14),"")</f>
        <v/>
      </c>
      <c r="K16" s="20"/>
      <c r="L16" s="91"/>
      <c r="M16" s="91"/>
      <c r="N16" s="20"/>
      <c r="O16" s="20"/>
      <c r="P16" s="20"/>
      <c r="Q16" s="20"/>
      <c r="R16" s="20"/>
      <c r="S16" s="20"/>
      <c r="T16" s="20"/>
      <c r="U16" s="20"/>
    </row>
    <row r="17" spans="1:21">
      <c r="A17" s="82"/>
      <c r="B17" s="86"/>
      <c r="D17" s="84" t="str">
        <f t="shared" si="0"/>
        <v/>
      </c>
      <c r="K17" s="20"/>
      <c r="L17" s="91"/>
      <c r="M17" s="91"/>
      <c r="N17" s="20"/>
      <c r="O17" s="20"/>
      <c r="P17" s="20"/>
      <c r="Q17" s="20"/>
      <c r="R17" s="20"/>
      <c r="S17" s="20"/>
      <c r="T17" s="20"/>
      <c r="U17" s="20"/>
    </row>
    <row r="18" spans="1:21">
      <c r="A18" s="82"/>
      <c r="B18" s="86"/>
      <c r="D18" s="84" t="str">
        <f t="shared" si="0"/>
        <v/>
      </c>
      <c r="G18" s="1" t="s">
        <v>15</v>
      </c>
      <c r="H18" t="str">
        <f>TEXT(G3,"##.##")</f>
        <v>.</v>
      </c>
      <c r="I18" t="s">
        <v>44</v>
      </c>
      <c r="K18" s="20"/>
      <c r="L18" s="91"/>
      <c r="M18" s="91"/>
      <c r="N18" s="20"/>
      <c r="O18" s="20"/>
      <c r="P18" s="20"/>
      <c r="Q18" s="20"/>
      <c r="R18" s="20"/>
      <c r="S18" s="20"/>
      <c r="T18" s="20"/>
      <c r="U18" s="20"/>
    </row>
    <row r="19" spans="1:21">
      <c r="A19" s="82"/>
      <c r="B19" s="86"/>
      <c r="D19" s="84" t="str">
        <f t="shared" si="0"/>
        <v/>
      </c>
      <c r="G19" s="105" t="str">
        <f>CONCATENATE(G18,H18,I18)</f>
        <v>El intervalo de confianza del .% para la media es:</v>
      </c>
      <c r="H19" s="105"/>
      <c r="I19" s="105"/>
      <c r="J19" s="105"/>
      <c r="K19" s="20"/>
      <c r="L19" s="91"/>
      <c r="M19" s="91"/>
      <c r="N19" s="20"/>
      <c r="O19" s="20"/>
      <c r="P19" s="20"/>
      <c r="Q19" s="20"/>
      <c r="R19" s="20"/>
      <c r="S19" s="20"/>
      <c r="T19" s="20"/>
      <c r="U19" s="20"/>
    </row>
    <row r="20" spans="1:21">
      <c r="A20" s="82"/>
      <c r="B20" s="86"/>
      <c r="D20" s="84" t="str">
        <f t="shared" si="0"/>
        <v/>
      </c>
      <c r="L20" s="91"/>
      <c r="M20" s="91"/>
      <c r="N20" s="20"/>
    </row>
    <row r="21" spans="1:21">
      <c r="A21" s="82"/>
      <c r="B21" s="86"/>
      <c r="D21" s="84" t="str">
        <f t="shared" si="0"/>
        <v/>
      </c>
      <c r="G21" t="str">
        <f>IF(H16&lt;&gt;"",H8-G4*H16,"")</f>
        <v/>
      </c>
      <c r="I21" s="57" t="str">
        <f>IF(H16&lt;&gt;"",H8+G4*H16,"")</f>
        <v/>
      </c>
      <c r="L21" s="20"/>
      <c r="M21" s="20"/>
      <c r="N21" s="20"/>
    </row>
    <row r="22" spans="1:21">
      <c r="A22" s="82"/>
      <c r="B22" s="86"/>
      <c r="D22" s="84" t="str">
        <f t="shared" si="0"/>
        <v/>
      </c>
    </row>
    <row r="23" spans="1:21">
      <c r="A23" s="82"/>
      <c r="B23" s="86"/>
      <c r="D23" s="84" t="str">
        <f t="shared" si="0"/>
        <v/>
      </c>
    </row>
    <row r="24" spans="1:21">
      <c r="A24" s="82"/>
      <c r="B24" s="86"/>
      <c r="D24" s="84" t="str">
        <f t="shared" si="0"/>
        <v/>
      </c>
    </row>
    <row r="25" spans="1:21">
      <c r="A25" s="82"/>
      <c r="B25" s="86"/>
      <c r="D25" s="84" t="str">
        <f t="shared" si="0"/>
        <v/>
      </c>
    </row>
    <row r="26" spans="1:21">
      <c r="A26" s="82"/>
      <c r="B26" s="86"/>
      <c r="D26" s="84" t="str">
        <f t="shared" si="0"/>
        <v/>
      </c>
    </row>
    <row r="27" spans="1:21">
      <c r="A27" s="82"/>
      <c r="B27" s="86"/>
      <c r="D27" s="84" t="str">
        <f t="shared" si="0"/>
        <v/>
      </c>
    </row>
    <row r="28" spans="1:21">
      <c r="A28" s="82"/>
      <c r="B28" s="86"/>
      <c r="D28" s="84" t="str">
        <f t="shared" si="0"/>
        <v/>
      </c>
    </row>
    <row r="29" spans="1:21">
      <c r="A29" s="82"/>
      <c r="B29" s="86"/>
      <c r="D29" s="84" t="str">
        <f t="shared" si="0"/>
        <v/>
      </c>
    </row>
    <row r="30" spans="1:21">
      <c r="A30" s="82"/>
      <c r="B30" s="86"/>
      <c r="D30" s="84" t="str">
        <f t="shared" si="0"/>
        <v/>
      </c>
    </row>
    <row r="31" spans="1:21">
      <c r="A31" s="82"/>
      <c r="B31" s="86"/>
      <c r="D31" s="84" t="str">
        <f t="shared" si="0"/>
        <v/>
      </c>
    </row>
    <row r="32" spans="1:21">
      <c r="A32" s="82"/>
      <c r="B32" s="86"/>
      <c r="D32" s="84" t="str">
        <f t="shared" si="0"/>
        <v/>
      </c>
    </row>
    <row r="33" spans="1:4">
      <c r="A33" s="82"/>
      <c r="B33" s="86"/>
      <c r="D33" s="84" t="str">
        <f t="shared" si="0"/>
        <v/>
      </c>
    </row>
    <row r="34" spans="1:4">
      <c r="A34" s="82"/>
      <c r="B34" s="86"/>
      <c r="D34" s="84" t="str">
        <f t="shared" si="0"/>
        <v/>
      </c>
    </row>
    <row r="35" spans="1:4">
      <c r="A35" s="82"/>
      <c r="B35" s="86"/>
      <c r="D35" s="84" t="str">
        <f t="shared" si="0"/>
        <v/>
      </c>
    </row>
    <row r="36" spans="1:4">
      <c r="A36" s="82"/>
      <c r="B36" s="86"/>
      <c r="D36" s="84" t="str">
        <f t="shared" si="0"/>
        <v/>
      </c>
    </row>
    <row r="37" spans="1:4">
      <c r="A37" s="82"/>
      <c r="B37" s="86"/>
      <c r="D37" s="84" t="str">
        <f t="shared" si="0"/>
        <v/>
      </c>
    </row>
    <row r="38" spans="1:4">
      <c r="A38" s="82"/>
      <c r="B38" s="86"/>
      <c r="D38" s="84" t="str">
        <f t="shared" si="0"/>
        <v/>
      </c>
    </row>
    <row r="39" spans="1:4">
      <c r="A39" s="82"/>
      <c r="B39" s="86"/>
      <c r="D39" s="84" t="str">
        <f t="shared" si="0"/>
        <v/>
      </c>
    </row>
    <row r="40" spans="1:4">
      <c r="A40" s="82"/>
      <c r="B40" s="86"/>
      <c r="D40" s="84" t="str">
        <f t="shared" si="0"/>
        <v/>
      </c>
    </row>
    <row r="41" spans="1:4">
      <c r="A41" s="82"/>
      <c r="B41" s="86"/>
      <c r="D41" s="84" t="str">
        <f t="shared" si="0"/>
        <v/>
      </c>
    </row>
    <row r="42" spans="1:4">
      <c r="A42" s="82"/>
      <c r="B42" s="86"/>
      <c r="D42" s="84" t="str">
        <f t="shared" si="0"/>
        <v/>
      </c>
    </row>
    <row r="43" spans="1:4">
      <c r="A43" s="82"/>
      <c r="B43" s="86"/>
      <c r="D43" s="84" t="str">
        <f t="shared" si="0"/>
        <v/>
      </c>
    </row>
    <row r="44" spans="1:4">
      <c r="A44" s="82"/>
      <c r="B44" s="86"/>
      <c r="D44" s="84" t="str">
        <f t="shared" si="0"/>
        <v/>
      </c>
    </row>
    <row r="45" spans="1:4">
      <c r="A45" s="82"/>
      <c r="B45" s="86"/>
      <c r="D45" s="84" t="str">
        <f t="shared" si="0"/>
        <v/>
      </c>
    </row>
    <row r="46" spans="1:4">
      <c r="A46" s="82"/>
      <c r="B46" s="86"/>
      <c r="D46" s="84" t="str">
        <f t="shared" si="0"/>
        <v/>
      </c>
    </row>
    <row r="47" spans="1:4">
      <c r="A47" s="82"/>
      <c r="B47" s="86"/>
      <c r="D47" s="84" t="str">
        <f t="shared" si="0"/>
        <v/>
      </c>
    </row>
    <row r="48" spans="1:4">
      <c r="A48" s="82"/>
      <c r="B48" s="86"/>
      <c r="D48" s="84" t="str">
        <f t="shared" si="0"/>
        <v/>
      </c>
    </row>
    <row r="49" spans="1:4">
      <c r="A49" s="82"/>
      <c r="B49" s="86"/>
      <c r="D49" s="84" t="str">
        <f t="shared" si="0"/>
        <v/>
      </c>
    </row>
    <row r="50" spans="1:4">
      <c r="A50" s="82"/>
      <c r="B50" s="86"/>
      <c r="D50" s="84" t="str">
        <f t="shared" si="0"/>
        <v/>
      </c>
    </row>
    <row r="51" spans="1:4" ht="15.75" thickBot="1">
      <c r="A51" s="83"/>
      <c r="B51" s="87"/>
      <c r="D51" s="85" t="str">
        <f t="shared" si="0"/>
        <v/>
      </c>
    </row>
  </sheetData>
  <mergeCells count="1">
    <mergeCell ref="G19:J19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5</vt:i4>
      </vt:variant>
    </vt:vector>
  </HeadingPairs>
  <TitlesOfParts>
    <vt:vector size="11" baseType="lpstr">
      <vt:lpstr>Cálculo de s²</vt:lpstr>
      <vt:lpstr>Cálculo de g</vt:lpstr>
      <vt:lpstr>IC Media 1</vt:lpstr>
      <vt:lpstr>IC Media 2</vt:lpstr>
      <vt:lpstr>IC Proporción</vt:lpstr>
      <vt:lpstr>Datos pareados</vt:lpstr>
      <vt:lpstr>Antes</vt:lpstr>
      <vt:lpstr>Despues</vt:lpstr>
      <vt:lpstr>Difer</vt:lpstr>
      <vt:lpstr>GLib</vt:lpstr>
      <vt:lpstr>GLib2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ICondor</dc:creator>
  <cp:lastModifiedBy>ICondor</cp:lastModifiedBy>
  <dcterms:created xsi:type="dcterms:W3CDTF">2012-03-14T15:10:21Z</dcterms:created>
  <dcterms:modified xsi:type="dcterms:W3CDTF">2012-05-22T03:27:12Z</dcterms:modified>
</cp:coreProperties>
</file>